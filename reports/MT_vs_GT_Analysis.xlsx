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sheets>
    <sheet name="Raw Data - Facewash" sheetId="1" r:id="rId1"/>
    <sheet name="Raw Data - Shampoo" sheetId="2" r:id="rId2"/>
    <sheet name="Pack Mix - Shampoo" sheetId="3" r:id="rId3"/>
    <sheet name="Nielsen Competitor &amp; State" sheetId="4" r:id="rId4"/>
    <sheet name="MT vs GT Summary" sheetId="5" r:id="rId5"/>
    <sheet name="Action Tracker" sheetId="6" r:id="rId6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(#,##0.0)"/>
  </numFmts>
  <fonts count="6">
    <font>
      <sz val="10"/>
      <name val="Arial"/>
    </font>
    <font>
      <sz val="16"/>
      <b/>
      <color rgb="FFFFFFFF"/>
      <name val="Arial"/>
    </font>
    <font>
      <sz val="11"/>
      <b/>
      <color rgb="FFFFFFFF"/>
      <name val="Arial"/>
    </font>
    <font>
      <sz val="10"/>
      <b/>
      <name val="Arial"/>
    </font>
    <font>
      <sz val="9"/>
      <i/>
      <color rgb="FF666666"/>
      <name val="Arial"/>
    </font>
    <font>
      <sz val="10"/>
      <b/>
      <color rgb="FF6D2E46"/>
      <name val="Arial"/>
    </font>
  </fonts>
  <fills count="7">
    <fill>
      <patternFill patternType="none"/>
    </fill>
    <fill>
      <patternFill patternType="gray125"/>
    </fill>
    <fill>
      <patternFill patternType="solid">
        <fgColor rgb="FF6D2E46"/>
        <bgColor indexed="64"/>
      </patternFill>
    </fill>
    <fill>
      <patternFill patternType="solid">
        <fgColor rgb="FF2F3C7E"/>
        <bgColor indexed="64"/>
      </patternFill>
    </fill>
    <fill>
      <patternFill patternType="solid">
        <fgColor rgb="FFEAF3EF"/>
        <bgColor indexed="64"/>
      </patternFill>
    </fill>
    <fill>
      <patternFill patternType="solid">
        <fgColor rgb="FFFBEDE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4" borderId="1" xfId="0" applyFont="1" applyFill="1" applyBorder="1"/>
    <xf numFmtId="0" fontId="0" fillId="5" borderId="1" xfId="0" applyFont="1" applyFill="1" applyBorder="1"/>
    <xf numFmtId="164" fontId="0" fillId="4" borderId="1" xfId="0" applyNumFmt="1" applyFont="1" applyFill="1" applyBorder="1"/>
    <xf numFmtId="164" fontId="0" fillId="5" borderId="1" xfId="0" applyNumFmt="1" applyFont="1" applyFill="1" applyBorder="1"/>
    <xf numFmtId="0" fontId="4" fillId="0" borderId="0" xfId="0" applyFont="1"/>
    <xf numFmtId="0" fontId="3" fillId="6" borderId="1" xfId="0" applyFont="1" applyFill="1" applyBorder="1"/>
    <xf numFmtId="10" fontId="0" fillId="4" borderId="1" xfId="0" applyNumFmt="1" applyFont="1" applyFill="1" applyBorder="1"/>
    <xf numFmtId="10" fontId="0" fillId="5" borderId="1" xfId="0" applyNumFmt="1" applyFont="1" applyFill="1" applyBorder="1"/>
    <xf numFmtId="0" fontId="3" fillId="0" borderId="1" xfId="0" applyFont="1" applyBorder="1"/>
    <xf numFmtId="0" fontId="5" fillId="0" borderId="0" xfId="0" applyFont="1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12" customWidth="1"/>
    <col min="3" max="3" width="34" customWidth="1"/>
    <col min="4" max="4" width="11" customWidth="1"/>
    <col min="5" max="5" width="11" customWidth="1"/>
    <col min="6" max="6" width="11" customWidth="1"/>
    <col min="7" max="7" width="16" customWidth="1"/>
    <col min="8" max="8" width="11" customWidth="1"/>
    <col min="9" max="9" width="18" customWidth="1"/>
  </cols>
  <sheetData>
    <row r="1">
      <c r="A1" s="1" t="inlineStr">
        <is>
          <t xml:space="preserve">FACEWASH — MT vs GT Raw Extract (Nielsen/Kantar Retail Audit Panel, URB)</t>
        </is>
      </c>
    </row>
    <row r="3">
      <c r="A3" s="2" t="inlineStr">
        <is>
          <t xml:space="preserve">Channel</t>
        </is>
      </c>
      <c r="B3" s="2" t="inlineStr">
        <is>
          <t xml:space="preserve">Item</t>
        </is>
      </c>
      <c r="C3" s="2" t="inlineStr">
        <is>
          <t xml:space="preserve">Metric</t>
        </is>
      </c>
      <c r="D3" s="2" t="inlineStr">
        <is>
          <t xml:space="preserve">Jun'25</t>
        </is>
      </c>
      <c r="E3" s="2" t="inlineStr">
        <is>
          <t xml:space="preserve">Jun'26</t>
        </is>
      </c>
      <c r="F3" s="2" t="inlineStr">
        <is>
          <t xml:space="preserve">L3M YA</t>
        </is>
      </c>
      <c r="G3" s="2" t="inlineStr">
        <is>
          <t xml:space="preserve">L3M (Apr-Jun'26)</t>
        </is>
      </c>
      <c r="H3" s="2" t="inlineStr">
        <is>
          <t xml:space="preserve">L12M YA</t>
        </is>
      </c>
      <c r="I3" s="2" t="inlineStr">
        <is>
          <t xml:space="preserve">L12M (Jul'25-Jun'26)</t>
        </is>
      </c>
    </row>
    <row r="4">
      <c r="A4" s="4" t="inlineStr">
        <is>
          <t xml:space="preserve">MT</t>
        </is>
      </c>
      <c r="B4" s="4" t="inlineStr">
        <is>
          <t xml:space="preserve">Category</t>
        </is>
      </c>
      <c r="C4" s="4" t="inlineStr">
        <is>
          <t xml:space="preserve">Sales Value (Crs.)</t>
        </is>
      </c>
      <c r="D4" s="6">
        <v>71.2</v>
      </c>
      <c r="E4" s="6">
        <v>82.2</v>
      </c>
      <c r="F4" s="6">
        <v>210.5</v>
      </c>
      <c r="G4" s="6">
        <v>241.3</v>
      </c>
      <c r="H4" s="6">
        <v>780.3</v>
      </c>
      <c r="I4" s="6">
        <v>857.7</v>
      </c>
    </row>
    <row r="5">
      <c r="A5" s="4" t="inlineStr">
        <is>
          <t xml:space="preserve">MT</t>
        </is>
      </c>
      <c r="B5" s="4" t="inlineStr">
        <is>
          <t xml:space="preserve">Category</t>
        </is>
      </c>
      <c r="C5" s="4" t="inlineStr">
        <is>
          <t xml:space="preserve">MS Val</t>
        </is>
      </c>
      <c r="D5" s="6">
        <v>100.0</v>
      </c>
      <c r="E5" s="6">
        <v>100.0</v>
      </c>
      <c r="F5" s="6">
        <v>100.0</v>
      </c>
      <c r="G5" s="6">
        <v>100.0</v>
      </c>
      <c r="H5" s="6">
        <v>100.0</v>
      </c>
      <c r="I5" s="6">
        <v>100.0</v>
      </c>
    </row>
    <row r="6">
      <c r="A6" s="4" t="inlineStr">
        <is>
          <t xml:space="preserve">MT</t>
        </is>
      </c>
      <c r="B6" s="4" t="inlineStr">
        <is>
          <t xml:space="preserve">Category</t>
        </is>
      </c>
      <c r="C6" s="4" t="inlineStr">
        <is>
          <t xml:space="preserve">MS Vol</t>
        </is>
      </c>
      <c r="D6" s="6">
        <v>100.0</v>
      </c>
      <c r="E6" s="6">
        <v>100.0</v>
      </c>
      <c r="F6" s="6">
        <v>100.0</v>
      </c>
      <c r="G6" s="6">
        <v>100.0</v>
      </c>
      <c r="H6" s="6">
        <v>100.0</v>
      </c>
      <c r="I6" s="6">
        <v>100.0</v>
      </c>
    </row>
    <row r="7">
      <c r="A7" s="4" t="inlineStr">
        <is>
          <t xml:space="preserve">MT</t>
        </is>
      </c>
      <c r="B7" s="4" t="inlineStr">
        <is>
          <t xml:space="preserve">Category</t>
        </is>
      </c>
      <c r="C7" s="4" t="inlineStr">
        <is>
          <t xml:space="preserve">Number of Stores Retailing</t>
        </is>
      </c>
      <c r="D7" s="6">
        <v>20657.1</v>
      </c>
      <c r="E7" s="6">
        <v>22129.8</v>
      </c>
      <c r="F7" s="6">
        <v>21191.5</v>
      </c>
      <c r="G7" s="6">
        <v>22483.4</v>
      </c>
      <c r="H7" s="6">
        <v>21710.8</v>
      </c>
      <c r="I7" s="6">
        <v>22512.5</v>
      </c>
    </row>
    <row r="8">
      <c r="A8" s="4" t="inlineStr">
        <is>
          <t xml:space="preserve">MT</t>
        </is>
      </c>
      <c r="B8" s="4" t="inlineStr">
        <is>
          <t xml:space="preserve">Category</t>
        </is>
      </c>
      <c r="C8" s="4" t="inlineStr">
        <is>
          <t xml:space="preserve">Wghtd Dist Handling</t>
        </is>
      </c>
      <c r="D8" s="6">
        <v>100.0</v>
      </c>
      <c r="E8" s="6">
        <v>100.0</v>
      </c>
      <c r="F8" s="6">
        <v>100.0</v>
      </c>
      <c r="G8" s="6">
        <v>100.0</v>
      </c>
      <c r="H8" s="6">
        <v>100.0</v>
      </c>
      <c r="I8" s="6">
        <v>100.0</v>
      </c>
    </row>
    <row r="9">
      <c r="A9" s="4" t="inlineStr">
        <is>
          <t xml:space="preserve">MT</t>
        </is>
      </c>
      <c r="B9" s="4" t="inlineStr">
        <is>
          <t xml:space="preserve">Category</t>
        </is>
      </c>
      <c r="C9" s="4" t="inlineStr">
        <is>
          <t xml:space="preserve">Per Dealer Offtake (PDO) (Value)</t>
        </is>
      </c>
      <c r="D9" s="6">
        <v>34447.8</v>
      </c>
      <c r="E9" s="6">
        <v>37124.1</v>
      </c>
      <c r="F9" s="6">
        <v>33104.1</v>
      </c>
      <c r="G9" s="6">
        <v>35767.4</v>
      </c>
      <c r="H9" s="6">
        <v>29950.5</v>
      </c>
      <c r="I9" s="6">
        <v>31747.4</v>
      </c>
    </row>
    <row r="10">
      <c r="A10" s="4" t="inlineStr">
        <is>
          <t xml:space="preserve">MT</t>
        </is>
      </c>
      <c r="B10" s="4" t="inlineStr">
        <is>
          <t xml:space="preserve">Category</t>
        </is>
      </c>
      <c r="C10" s="4" t="inlineStr">
        <is>
          <t xml:space="preserve">Price per ml</t>
        </is>
      </c>
      <c r="D10" s="6">
        <v>1.4</v>
      </c>
      <c r="E10" s="6">
        <v>1.4</v>
      </c>
      <c r="F10" s="6">
        <v>1.4</v>
      </c>
      <c r="G10" s="6">
        <v>1.5</v>
      </c>
      <c r="H10" s="6">
        <v>1.4</v>
      </c>
      <c r="I10" s="6">
        <v>1.4</v>
      </c>
    </row>
    <row r="11">
      <c r="A11" s="4" t="inlineStr">
        <is>
          <t xml:space="preserve">MT</t>
        </is>
      </c>
      <c r="B11" s="4" t="inlineStr">
        <is>
          <t xml:space="preserve">Mamaearth</t>
        </is>
      </c>
      <c r="C11" s="4" t="inlineStr">
        <is>
          <t xml:space="preserve">Sales Value (Crs.)</t>
        </is>
      </c>
      <c r="D11" s="6">
        <v>6.0</v>
      </c>
      <c r="E11" s="6">
        <v>9.5</v>
      </c>
      <c r="F11" s="6">
        <v>17.6</v>
      </c>
      <c r="G11" s="6">
        <v>27.9</v>
      </c>
      <c r="H11" s="6">
        <v>58.1</v>
      </c>
      <c r="I11" s="6">
        <v>90.2</v>
      </c>
    </row>
    <row r="12">
      <c r="A12" s="4" t="inlineStr">
        <is>
          <t xml:space="preserve">MT</t>
        </is>
      </c>
      <c r="B12" s="4" t="inlineStr">
        <is>
          <t xml:space="preserve">Mamaearth</t>
        </is>
      </c>
      <c r="C12" s="4" t="inlineStr">
        <is>
          <t xml:space="preserve">MS Val</t>
        </is>
      </c>
      <c r="D12" s="6">
        <v>8.5</v>
      </c>
      <c r="E12" s="6">
        <v>11.6</v>
      </c>
      <c r="F12" s="6">
        <v>8.4</v>
      </c>
      <c r="G12" s="6">
        <v>11.6</v>
      </c>
      <c r="H12" s="6">
        <v>7.5</v>
      </c>
      <c r="I12" s="6">
        <v>10.5</v>
      </c>
    </row>
    <row r="13">
      <c r="A13" s="4" t="inlineStr">
        <is>
          <t xml:space="preserve">MT</t>
        </is>
      </c>
      <c r="B13" s="4" t="inlineStr">
        <is>
          <t xml:space="preserve">Mamaearth</t>
        </is>
      </c>
      <c r="C13" s="4" t="inlineStr">
        <is>
          <t xml:space="preserve">MS Vol</t>
        </is>
      </c>
      <c r="D13" s="6">
        <v>7.6</v>
      </c>
      <c r="E13" s="6">
        <v>10.9</v>
      </c>
      <c r="F13" s="6">
        <v>7.8</v>
      </c>
      <c r="G13" s="6">
        <v>10.9</v>
      </c>
      <c r="H13" s="6">
        <v>6.8</v>
      </c>
      <c r="I13" s="6">
        <v>9.9</v>
      </c>
    </row>
    <row r="14">
      <c r="A14" s="4" t="inlineStr">
        <is>
          <t xml:space="preserve">MT</t>
        </is>
      </c>
      <c r="B14" s="4" t="inlineStr">
        <is>
          <t xml:space="preserve">Mamaearth</t>
        </is>
      </c>
      <c r="C14" s="4" t="inlineStr">
        <is>
          <t xml:space="preserve">Number of Stores Retailing</t>
        </is>
      </c>
      <c r="D14" s="6">
        <v>10005.8</v>
      </c>
      <c r="E14" s="6">
        <v>13162.7</v>
      </c>
      <c r="F14" s="6">
        <v>12201.0</v>
      </c>
      <c r="G14" s="6">
        <v>14620.2</v>
      </c>
      <c r="H14" s="6">
        <v>13704.1</v>
      </c>
      <c r="I14" s="6">
        <v>15234.6</v>
      </c>
    </row>
    <row r="15">
      <c r="A15" s="4" t="inlineStr">
        <is>
          <t xml:space="preserve">MT</t>
        </is>
      </c>
      <c r="B15" s="4" t="inlineStr">
        <is>
          <t xml:space="preserve">Mamaearth</t>
        </is>
      </c>
      <c r="C15" s="4" t="inlineStr">
        <is>
          <t xml:space="preserve">Wghtd Dist Handling</t>
        </is>
      </c>
      <c r="D15" s="6">
        <v>78.7</v>
      </c>
      <c r="E15" s="6">
        <v>87.0</v>
      </c>
      <c r="F15" s="6">
        <v>83.0</v>
      </c>
      <c r="G15" s="6">
        <v>89.0</v>
      </c>
      <c r="H15" s="6">
        <v>85.9</v>
      </c>
      <c r="I15" s="6">
        <v>89.8</v>
      </c>
    </row>
    <row r="16">
      <c r="A16" s="4" t="inlineStr">
        <is>
          <t xml:space="preserve">MT</t>
        </is>
      </c>
      <c r="B16" s="4" t="inlineStr">
        <is>
          <t xml:space="preserve">Mamaearth</t>
        </is>
      </c>
      <c r="C16" s="4" t="inlineStr">
        <is>
          <t xml:space="preserve">Per Dealer Offtake (PDO) (Value)</t>
        </is>
      </c>
      <c r="D16" s="6">
        <v>6029.2</v>
      </c>
      <c r="E16" s="6">
        <v>7227.5</v>
      </c>
      <c r="F16" s="6">
        <v>4818.1</v>
      </c>
      <c r="G16" s="6">
        <v>6362.5</v>
      </c>
      <c r="H16" s="6">
        <v>3535.0</v>
      </c>
      <c r="I16" s="6">
        <v>4936.0</v>
      </c>
    </row>
    <row r="17">
      <c r="A17" s="4" t="inlineStr">
        <is>
          <t xml:space="preserve">MT</t>
        </is>
      </c>
      <c r="B17" s="4" t="inlineStr">
        <is>
          <t xml:space="preserve">Mamaearth</t>
        </is>
      </c>
      <c r="C17" s="4" t="inlineStr">
        <is>
          <t xml:space="preserve">Price per ml</t>
        </is>
      </c>
      <c r="D17" s="6">
        <v>1.6</v>
      </c>
      <c r="E17" s="6">
        <v>1.5</v>
      </c>
      <c r="F17" s="6">
        <v>1.5</v>
      </c>
      <c r="G17" s="6">
        <v>1.5</v>
      </c>
      <c r="H17" s="6">
        <v>1.5</v>
      </c>
      <c r="I17" s="6">
        <v>1.5</v>
      </c>
    </row>
    <row r="18">
      <c r="A18" s="3" t="inlineStr">
        <is>
          <t xml:space="preserve">GT</t>
        </is>
      </c>
      <c r="B18" s="3" t="inlineStr">
        <is>
          <t xml:space="preserve">Category</t>
        </is>
      </c>
      <c r="C18" s="3" t="inlineStr">
        <is>
          <t xml:space="preserve">Sales Value (Crs.)</t>
        </is>
      </c>
      <c r="D18" s="5">
        <v>188.3</v>
      </c>
      <c r="E18" s="5">
        <v>188.0</v>
      </c>
      <c r="F18" s="5">
        <v>564.5</v>
      </c>
      <c r="G18" s="5">
        <v>571.2</v>
      </c>
      <c r="H18" s="5">
        <v>2136.8</v>
      </c>
      <c r="I18" s="5">
        <v>2245.8</v>
      </c>
    </row>
    <row r="19">
      <c r="A19" s="3" t="inlineStr">
        <is>
          <t xml:space="preserve">GT</t>
        </is>
      </c>
      <c r="B19" s="3" t="inlineStr">
        <is>
          <t xml:space="preserve">Category</t>
        </is>
      </c>
      <c r="C19" s="3" t="inlineStr">
        <is>
          <t xml:space="preserve">MS Val</t>
        </is>
      </c>
      <c r="D19" s="5">
        <v>100.0</v>
      </c>
      <c r="E19" s="5">
        <v>100.0</v>
      </c>
      <c r="F19" s="5">
        <v>100.0</v>
      </c>
      <c r="G19" s="5">
        <v>100.0</v>
      </c>
      <c r="H19" s="5">
        <v>100.0</v>
      </c>
      <c r="I19" s="5">
        <v>100.0</v>
      </c>
    </row>
    <row r="20">
      <c r="A20" s="3" t="inlineStr">
        <is>
          <t xml:space="preserve">GT</t>
        </is>
      </c>
      <c r="B20" s="3" t="inlineStr">
        <is>
          <t xml:space="preserve">Category</t>
        </is>
      </c>
      <c r="C20" s="3" t="inlineStr">
        <is>
          <t xml:space="preserve">MS Vol</t>
        </is>
      </c>
      <c r="D20" s="5">
        <v>100.0</v>
      </c>
      <c r="E20" s="5">
        <v>100.0</v>
      </c>
      <c r="F20" s="5">
        <v>100.0</v>
      </c>
      <c r="G20" s="5">
        <v>100.0</v>
      </c>
      <c r="H20" s="5">
        <v>100.0</v>
      </c>
      <c r="I20" s="5">
        <v>100.0</v>
      </c>
    </row>
    <row r="21">
      <c r="A21" s="3" t="inlineStr">
        <is>
          <t xml:space="preserve">GT</t>
        </is>
      </c>
      <c r="B21" s="3" t="inlineStr">
        <is>
          <t xml:space="preserve">Category</t>
        </is>
      </c>
      <c r="C21" s="3" t="inlineStr">
        <is>
          <t xml:space="preserve">Number of Stores Retailing</t>
        </is>
      </c>
      <c r="D21" s="5">
        <v>1053666.8</v>
      </c>
      <c r="E21" s="5">
        <v>1052136.5</v>
      </c>
      <c r="F21" s="5">
        <v>1095473.7</v>
      </c>
      <c r="G21" s="5">
        <v>1092323.1</v>
      </c>
      <c r="H21" s="5">
        <v>1228583.1</v>
      </c>
      <c r="I21" s="5">
        <v>1201286.1</v>
      </c>
    </row>
    <row r="22">
      <c r="A22" s="3" t="inlineStr">
        <is>
          <t xml:space="preserve">GT</t>
        </is>
      </c>
      <c r="B22" s="3" t="inlineStr">
        <is>
          <t xml:space="preserve">Category</t>
        </is>
      </c>
      <c r="C22" s="3" t="inlineStr">
        <is>
          <t xml:space="preserve">Wghtd Dist Handling</t>
        </is>
      </c>
      <c r="D22" s="5">
        <v>100.0</v>
      </c>
      <c r="E22" s="5">
        <v>100.0</v>
      </c>
      <c r="F22" s="5">
        <v>100.0</v>
      </c>
      <c r="G22" s="5">
        <v>100.0</v>
      </c>
      <c r="H22" s="5">
        <v>100.0</v>
      </c>
      <c r="I22" s="5">
        <v>100.0</v>
      </c>
    </row>
    <row r="23">
      <c r="A23" s="3" t="inlineStr">
        <is>
          <t xml:space="preserve">GT</t>
        </is>
      </c>
      <c r="B23" s="3" t="inlineStr">
        <is>
          <t xml:space="preserve">Category</t>
        </is>
      </c>
      <c r="C23" s="3" t="inlineStr">
        <is>
          <t xml:space="preserve">Per Dealer Offtake (PDO) (Value)</t>
        </is>
      </c>
      <c r="D23" s="5">
        <v>1787.4</v>
      </c>
      <c r="E23" s="5">
        <v>1786.5</v>
      </c>
      <c r="F23" s="5">
        <v>1717.7</v>
      </c>
      <c r="G23" s="5">
        <v>1743.0</v>
      </c>
      <c r="H23" s="5">
        <v>1449.4</v>
      </c>
      <c r="I23" s="5">
        <v>1557.9</v>
      </c>
    </row>
    <row r="24">
      <c r="A24" s="3" t="inlineStr">
        <is>
          <t xml:space="preserve">GT</t>
        </is>
      </c>
      <c r="B24" s="3" t="inlineStr">
        <is>
          <t xml:space="preserve">Category</t>
        </is>
      </c>
      <c r="C24" s="3" t="inlineStr">
        <is>
          <t xml:space="preserve">Price per ml</t>
        </is>
      </c>
      <c r="D24" s="5">
        <v>1.9</v>
      </c>
      <c r="E24" s="5">
        <v>2.0</v>
      </c>
      <c r="F24" s="5">
        <v>1.9</v>
      </c>
      <c r="G24" s="5">
        <v>2.0</v>
      </c>
      <c r="H24" s="5">
        <v>1.8</v>
      </c>
      <c r="I24" s="5">
        <v>2.0</v>
      </c>
    </row>
    <row r="25">
      <c r="A25" s="3" t="inlineStr">
        <is>
          <t xml:space="preserve">GT</t>
        </is>
      </c>
      <c r="B25" s="3" t="inlineStr">
        <is>
          <t xml:space="preserve">Mamaearth</t>
        </is>
      </c>
      <c r="C25" s="3" t="inlineStr">
        <is>
          <t xml:space="preserve">Sales Value (Crs.)</t>
        </is>
      </c>
      <c r="D25" s="5">
        <v>8.3</v>
      </c>
      <c r="E25" s="5">
        <v>9.1</v>
      </c>
      <c r="F25" s="5">
        <v>24.7</v>
      </c>
      <c r="G25" s="5">
        <v>26.9</v>
      </c>
      <c r="H25" s="5">
        <v>88.1</v>
      </c>
      <c r="I25" s="5">
        <v>99.6</v>
      </c>
    </row>
    <row r="26">
      <c r="A26" s="3" t="inlineStr">
        <is>
          <t xml:space="preserve">GT</t>
        </is>
      </c>
      <c r="B26" s="3" t="inlineStr">
        <is>
          <t xml:space="preserve">Mamaearth</t>
        </is>
      </c>
      <c r="C26" s="3" t="inlineStr">
        <is>
          <t xml:space="preserve">MS Val</t>
        </is>
      </c>
      <c r="D26" s="5">
        <v>4.4</v>
      </c>
      <c r="E26" s="5">
        <v>4.8</v>
      </c>
      <c r="F26" s="5">
        <v>4.4</v>
      </c>
      <c r="G26" s="5">
        <v>4.7</v>
      </c>
      <c r="H26" s="5">
        <v>4.1</v>
      </c>
      <c r="I26" s="5">
        <v>4.4</v>
      </c>
    </row>
    <row r="27">
      <c r="A27" s="3" t="inlineStr">
        <is>
          <t xml:space="preserve">GT</t>
        </is>
      </c>
      <c r="B27" s="3" t="inlineStr">
        <is>
          <t xml:space="preserve">Mamaearth</t>
        </is>
      </c>
      <c r="C27" s="3" t="inlineStr">
        <is>
          <t xml:space="preserve">MS Vol</t>
        </is>
      </c>
      <c r="D27" s="5">
        <v>3.2</v>
      </c>
      <c r="E27" s="5">
        <v>3.8</v>
      </c>
      <c r="F27" s="5">
        <v>3.2</v>
      </c>
      <c r="G27" s="5">
        <v>3.7</v>
      </c>
      <c r="H27" s="5">
        <v>3.0</v>
      </c>
      <c r="I27" s="5">
        <v>3.4</v>
      </c>
    </row>
    <row r="28">
      <c r="A28" s="3" t="inlineStr">
        <is>
          <t xml:space="preserve">GT</t>
        </is>
      </c>
      <c r="B28" s="3" t="inlineStr">
        <is>
          <t xml:space="preserve">Mamaearth</t>
        </is>
      </c>
      <c r="C28" s="3" t="inlineStr">
        <is>
          <t xml:space="preserve">Number of Stores Retailing</t>
        </is>
      </c>
      <c r="D28" s="5">
        <v>143420.5</v>
      </c>
      <c r="E28" s="5">
        <v>164144.7</v>
      </c>
      <c r="F28" s="5">
        <v>155293.0</v>
      </c>
      <c r="G28" s="5">
        <v>179622.7</v>
      </c>
      <c r="H28" s="5">
        <v>185118.3</v>
      </c>
      <c r="I28" s="5">
        <v>204297.6</v>
      </c>
    </row>
    <row r="29">
      <c r="A29" s="3" t="inlineStr">
        <is>
          <t xml:space="preserve">GT</t>
        </is>
      </c>
      <c r="B29" s="3" t="inlineStr">
        <is>
          <t xml:space="preserve">Mamaearth</t>
        </is>
      </c>
      <c r="C29" s="3" t="inlineStr">
        <is>
          <t xml:space="preserve">Wghtd Dist Handling</t>
        </is>
      </c>
      <c r="D29" s="5">
        <v>49.9</v>
      </c>
      <c r="E29" s="5">
        <v>50.1</v>
      </c>
      <c r="F29" s="5">
        <v>52.3</v>
      </c>
      <c r="G29" s="5">
        <v>54.4</v>
      </c>
      <c r="H29" s="5">
        <v>55.5</v>
      </c>
      <c r="I29" s="5">
        <v>58.2</v>
      </c>
    </row>
    <row r="30">
      <c r="A30" s="3" t="inlineStr">
        <is>
          <t xml:space="preserve">GT</t>
        </is>
      </c>
      <c r="B30" s="3" t="inlineStr">
        <is>
          <t xml:space="preserve">Mamaearth</t>
        </is>
      </c>
      <c r="C30" s="3" t="inlineStr">
        <is>
          <t xml:space="preserve">Per Dealer Offtake (PDO) (Value)</t>
        </is>
      </c>
      <c r="D30" s="5">
        <v>576.1</v>
      </c>
      <c r="E30" s="5">
        <v>554.6</v>
      </c>
      <c r="F30" s="5">
        <v>530.6</v>
      </c>
      <c r="G30" s="5">
        <v>498.3</v>
      </c>
      <c r="H30" s="5">
        <v>396.8</v>
      </c>
      <c r="I30" s="5">
        <v>406.2</v>
      </c>
    </row>
    <row r="31">
      <c r="A31" s="3" t="inlineStr">
        <is>
          <t xml:space="preserve">GT</t>
        </is>
      </c>
      <c r="B31" s="3" t="inlineStr">
        <is>
          <t xml:space="preserve">Mamaearth</t>
        </is>
      </c>
      <c r="C31" s="3" t="inlineStr">
        <is>
          <t xml:space="preserve">Price per ml</t>
        </is>
      </c>
      <c r="D31" s="5">
        <v>2.5</v>
      </c>
      <c r="E31" s="5">
        <v>2.6</v>
      </c>
      <c r="F31" s="5">
        <v>2.5</v>
      </c>
      <c r="G31" s="5">
        <v>2.6</v>
      </c>
      <c r="H31" s="5">
        <v>2.5</v>
      </c>
      <c r="I31" s="5">
        <v>2.6</v>
      </c>
    </row>
    <row r="33">
      <c r="A33" s="7" t="inlineStr">
        <is>
          <t xml:space="preserve">Source: Facewash_Shampoo_Snapshot_Report_June_26.csv. MT = AI (U+R) MT panel, GT = GT Total panel. Extracted values, no manual edits.</t>
        </is>
      </c>
    </row>
  </sheetData>
  <mergeCells count="2">
    <mergeCell ref="A1:I1"/>
    <mergeCell ref="A33:I33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12" customWidth="1"/>
    <col min="3" max="3" width="34" customWidth="1"/>
    <col min="4" max="4" width="11" customWidth="1"/>
    <col min="5" max="5" width="11" customWidth="1"/>
    <col min="6" max="6" width="11" customWidth="1"/>
    <col min="7" max="7" width="16" customWidth="1"/>
    <col min="8" max="8" width="11" customWidth="1"/>
    <col min="9" max="9" width="18" customWidth="1"/>
  </cols>
  <sheetData>
    <row r="1">
      <c r="A1" s="1" t="inlineStr">
        <is>
          <t xml:space="preserve">SHAMPOO — MT vs GT Raw Extract (Nielsen/Kantar Retail Audit Panel, URB)</t>
        </is>
      </c>
    </row>
    <row r="3">
      <c r="A3" s="2" t="inlineStr">
        <is>
          <t xml:space="preserve">Channel</t>
        </is>
      </c>
      <c r="B3" s="2" t="inlineStr">
        <is>
          <t xml:space="preserve">Item</t>
        </is>
      </c>
      <c r="C3" s="2" t="inlineStr">
        <is>
          <t xml:space="preserve">Metric</t>
        </is>
      </c>
      <c r="D3" s="2" t="inlineStr">
        <is>
          <t xml:space="preserve">Jun'25</t>
        </is>
      </c>
      <c r="E3" s="2" t="inlineStr">
        <is>
          <t xml:space="preserve">Jun'26</t>
        </is>
      </c>
      <c r="F3" s="2" t="inlineStr">
        <is>
          <t xml:space="preserve">L3M YA</t>
        </is>
      </c>
      <c r="G3" s="2" t="inlineStr">
        <is>
          <t xml:space="preserve">L3M (Apr-Jun'26)</t>
        </is>
      </c>
      <c r="H3" s="2" t="inlineStr">
        <is>
          <t xml:space="preserve">L12M YA</t>
        </is>
      </c>
      <c r="I3" s="2" t="inlineStr">
        <is>
          <t xml:space="preserve">L12M (Jul'25-Jun'26)</t>
        </is>
      </c>
    </row>
    <row r="4">
      <c r="A4" s="4" t="inlineStr">
        <is>
          <t xml:space="preserve">MT</t>
        </is>
      </c>
      <c r="B4" s="4" t="inlineStr">
        <is>
          <t xml:space="preserve">Category</t>
        </is>
      </c>
      <c r="C4" s="4" t="inlineStr">
        <is>
          <t xml:space="preserve">Sales Value (Crs.)</t>
        </is>
      </c>
      <c r="D4" s="6">
        <v>139.8</v>
      </c>
      <c r="E4" s="6">
        <v>155.3</v>
      </c>
      <c r="F4" s="6">
        <v>429.4</v>
      </c>
      <c r="G4" s="6">
        <v>462.0</v>
      </c>
      <c r="H4" s="6">
        <v>1736.4</v>
      </c>
      <c r="I4" s="6">
        <v>1736.4</v>
      </c>
    </row>
    <row r="5">
      <c r="A5" s="4" t="inlineStr">
        <is>
          <t xml:space="preserve">MT</t>
        </is>
      </c>
      <c r="B5" s="4" t="inlineStr">
        <is>
          <t xml:space="preserve">Category</t>
        </is>
      </c>
      <c r="C5" s="4" t="inlineStr">
        <is>
          <t xml:space="preserve">MS Val</t>
        </is>
      </c>
      <c r="D5" s="6">
        <v>100.0</v>
      </c>
      <c r="E5" s="6">
        <v>100.0</v>
      </c>
      <c r="F5" s="6">
        <v>100.0</v>
      </c>
      <c r="G5" s="6">
        <v>100.0</v>
      </c>
      <c r="H5" s="6">
        <v>100.0</v>
      </c>
      <c r="I5" s="6">
        <v>100.0</v>
      </c>
    </row>
    <row r="6">
      <c r="A6" s="4" t="inlineStr">
        <is>
          <t xml:space="preserve">MT</t>
        </is>
      </c>
      <c r="B6" s="4" t="inlineStr">
        <is>
          <t xml:space="preserve">Category</t>
        </is>
      </c>
      <c r="C6" s="4" t="inlineStr">
        <is>
          <t xml:space="preserve">MS Vol</t>
        </is>
      </c>
      <c r="D6" s="6">
        <v>100.0</v>
      </c>
      <c r="E6" s="6">
        <v>100.0</v>
      </c>
      <c r="F6" s="6">
        <v>100.0</v>
      </c>
      <c r="G6" s="6">
        <v>100.0</v>
      </c>
      <c r="H6" s="6">
        <v>100.0</v>
      </c>
      <c r="I6" s="6">
        <v>100.0</v>
      </c>
    </row>
    <row r="7">
      <c r="A7" s="4" t="inlineStr">
        <is>
          <t xml:space="preserve">MT</t>
        </is>
      </c>
      <c r="B7" s="4" t="inlineStr">
        <is>
          <t xml:space="preserve">Category</t>
        </is>
      </c>
      <c r="C7" s="4" t="inlineStr">
        <is>
          <t xml:space="preserve">Number of Stores Retailing</t>
        </is>
      </c>
      <c r="D7" s="6">
        <v>20864.8</v>
      </c>
      <c r="E7" s="6">
        <v>22648.9</v>
      </c>
      <c r="F7" s="6">
        <v>21323.9</v>
      </c>
      <c r="G7" s="6">
        <v>22643.5</v>
      </c>
      <c r="H7" s="6">
        <v>21881.9</v>
      </c>
      <c r="I7" s="6">
        <v>22807.1</v>
      </c>
    </row>
    <row r="8">
      <c r="A8" s="4" t="inlineStr">
        <is>
          <t xml:space="preserve">MT</t>
        </is>
      </c>
      <c r="B8" s="4" t="inlineStr">
        <is>
          <t xml:space="preserve">Category</t>
        </is>
      </c>
      <c r="C8" s="4" t="inlineStr">
        <is>
          <t xml:space="preserve">Wghtd Dist Handling</t>
        </is>
      </c>
      <c r="D8" s="6">
        <v>100.0</v>
      </c>
      <c r="E8" s="6">
        <v>100.0</v>
      </c>
      <c r="F8" s="6">
        <v>100.0</v>
      </c>
      <c r="G8" s="6">
        <v>100.0</v>
      </c>
      <c r="H8" s="6">
        <v>100.0</v>
      </c>
      <c r="I8" s="6">
        <v>100.0</v>
      </c>
    </row>
    <row r="9">
      <c r="A9" s="4" t="inlineStr">
        <is>
          <t xml:space="preserve">MT</t>
        </is>
      </c>
      <c r="B9" s="4" t="inlineStr">
        <is>
          <t xml:space="preserve">Category</t>
        </is>
      </c>
      <c r="C9" s="4" t="inlineStr">
        <is>
          <t xml:space="preserve">Per Dealer Offtake (PDO) (Value)</t>
        </is>
      </c>
      <c r="D9" s="6">
        <v>66994.5</v>
      </c>
      <c r="E9" s="6">
        <v>68586.1</v>
      </c>
      <c r="F9" s="6">
        <v>67130.7</v>
      </c>
      <c r="G9" s="6">
        <v>68005.5</v>
      </c>
      <c r="H9" s="6">
        <v>66128.6</v>
      </c>
      <c r="I9" s="6">
        <v>63443.5</v>
      </c>
    </row>
    <row r="10">
      <c r="A10" s="4" t="inlineStr">
        <is>
          <t xml:space="preserve">MT</t>
        </is>
      </c>
      <c r="B10" s="4" t="inlineStr">
        <is>
          <t xml:space="preserve">Category</t>
        </is>
      </c>
      <c r="C10" s="4" t="inlineStr">
        <is>
          <t xml:space="preserve">Price per ml</t>
        </is>
      </c>
      <c r="D10" s="6">
        <v>0.8</v>
      </c>
      <c r="E10" s="6">
        <v>0.7</v>
      </c>
      <c r="F10" s="6">
        <v>0.8</v>
      </c>
      <c r="G10" s="6">
        <v>0.7</v>
      </c>
      <c r="H10" s="6">
        <v>0.7</v>
      </c>
      <c r="I10" s="6">
        <v>0.7</v>
      </c>
    </row>
    <row r="11">
      <c r="A11" s="4" t="inlineStr">
        <is>
          <t xml:space="preserve">MT</t>
        </is>
      </c>
      <c r="B11" s="4" t="inlineStr">
        <is>
          <t xml:space="preserve">Mamaearth</t>
        </is>
      </c>
      <c r="C11" s="4" t="inlineStr">
        <is>
          <t xml:space="preserve">Sales Value (Crs.)</t>
        </is>
      </c>
      <c r="D11" s="6">
        <v>3.2</v>
      </c>
      <c r="E11" s="6">
        <v>6.2</v>
      </c>
      <c r="F11" s="6">
        <v>10.3</v>
      </c>
      <c r="G11" s="6">
        <v>18.6</v>
      </c>
      <c r="H11" s="6">
        <v>42.8</v>
      </c>
      <c r="I11" s="6">
        <v>63.5</v>
      </c>
    </row>
    <row r="12">
      <c r="A12" s="4" t="inlineStr">
        <is>
          <t xml:space="preserve">MT</t>
        </is>
      </c>
      <c r="B12" s="4" t="inlineStr">
        <is>
          <t xml:space="preserve">Mamaearth</t>
        </is>
      </c>
      <c r="C12" s="4" t="inlineStr">
        <is>
          <t xml:space="preserve">MS Val</t>
        </is>
      </c>
      <c r="D12" s="6">
        <v>2.3</v>
      </c>
      <c r="E12" s="6">
        <v>4.0</v>
      </c>
      <c r="F12" s="6">
        <v>2.4</v>
      </c>
      <c r="G12" s="6">
        <v>4.0</v>
      </c>
      <c r="H12" s="6">
        <v>2.5</v>
      </c>
      <c r="I12" s="6">
        <v>3.7</v>
      </c>
    </row>
    <row r="13">
      <c r="A13" s="4" t="inlineStr">
        <is>
          <t xml:space="preserve">MT</t>
        </is>
      </c>
      <c r="B13" s="4" t="inlineStr">
        <is>
          <t xml:space="preserve">Mamaearth</t>
        </is>
      </c>
      <c r="C13" s="4" t="inlineStr">
        <is>
          <t xml:space="preserve">MS Vol</t>
        </is>
      </c>
      <c r="D13" s="6">
        <v>2.3</v>
      </c>
      <c r="E13" s="6">
        <v>4.3</v>
      </c>
      <c r="F13" s="6">
        <v>2.5</v>
      </c>
      <c r="G13" s="6">
        <v>4.4</v>
      </c>
      <c r="H13" s="6">
        <v>2.3</v>
      </c>
      <c r="I13" s="6">
        <v>4.1</v>
      </c>
    </row>
    <row r="14">
      <c r="A14" s="4" t="inlineStr">
        <is>
          <t xml:space="preserve">MT</t>
        </is>
      </c>
      <c r="B14" s="4" t="inlineStr">
        <is>
          <t xml:space="preserve">Mamaearth</t>
        </is>
      </c>
      <c r="C14" s="4" t="inlineStr">
        <is>
          <t xml:space="preserve">Number of Stores Retailing</t>
        </is>
      </c>
      <c r="D14" s="6">
        <v>7572.8</v>
      </c>
      <c r="E14" s="6">
        <v>8883.3</v>
      </c>
      <c r="F14" s="6">
        <v>9023.7</v>
      </c>
      <c r="G14" s="6">
        <v>10335.2</v>
      </c>
      <c r="H14" s="6">
        <v>10836.4</v>
      </c>
      <c r="I14" s="6">
        <v>12070.8</v>
      </c>
    </row>
    <row r="15">
      <c r="A15" s="4" t="inlineStr">
        <is>
          <t xml:space="preserve">MT</t>
        </is>
      </c>
      <c r="B15" s="4" t="inlineStr">
        <is>
          <t xml:space="preserve">Mamaearth</t>
        </is>
      </c>
      <c r="C15" s="4" t="inlineStr">
        <is>
          <t xml:space="preserve">Wghtd Dist Handling</t>
        </is>
      </c>
      <c r="D15" s="6">
        <v>73.5</v>
      </c>
      <c r="E15" s="6">
        <v>78.3</v>
      </c>
      <c r="F15" s="6">
        <v>78.6</v>
      </c>
      <c r="G15" s="6">
        <v>81.5</v>
      </c>
      <c r="H15" s="6">
        <v>85.9</v>
      </c>
      <c r="I15" s="6">
        <v>86.4</v>
      </c>
    </row>
    <row r="16">
      <c r="A16" s="4" t="inlineStr">
        <is>
          <t xml:space="preserve">MT</t>
        </is>
      </c>
      <c r="B16" s="4" t="inlineStr">
        <is>
          <t xml:space="preserve">Mamaearth</t>
        </is>
      </c>
      <c r="C16" s="4" t="inlineStr">
        <is>
          <t xml:space="preserve">Per Dealer Offtake (PDO) (Value)</t>
        </is>
      </c>
      <c r="D16" s="6">
        <v>4288.3</v>
      </c>
      <c r="E16" s="6">
        <v>6958.3</v>
      </c>
      <c r="F16" s="6">
        <v>3812.5</v>
      </c>
      <c r="G16" s="6">
        <v>6001.5</v>
      </c>
      <c r="H16" s="6">
        <v>3287.8</v>
      </c>
      <c r="I16" s="6">
        <v>4383.8</v>
      </c>
    </row>
    <row r="17">
      <c r="A17" s="4" t="inlineStr">
        <is>
          <t xml:space="preserve">MT</t>
        </is>
      </c>
      <c r="B17" s="4" t="inlineStr">
        <is>
          <t xml:space="preserve">Mamaearth</t>
        </is>
      </c>
      <c r="C17" s="4" t="inlineStr">
        <is>
          <t xml:space="preserve">Price per ml</t>
        </is>
      </c>
      <c r="D17" s="6">
        <v>0.8</v>
      </c>
      <c r="E17" s="6">
        <v>0.7</v>
      </c>
      <c r="F17" s="6">
        <v>0.7</v>
      </c>
      <c r="G17" s="6">
        <v>0.6</v>
      </c>
      <c r="H17" s="6">
        <v>0.8</v>
      </c>
      <c r="I17" s="6">
        <v>0.7</v>
      </c>
    </row>
    <row r="18">
      <c r="A18" s="3" t="inlineStr">
        <is>
          <t xml:space="preserve">GT</t>
        </is>
      </c>
      <c r="B18" s="3" t="inlineStr">
        <is>
          <t xml:space="preserve">Category</t>
        </is>
      </c>
      <c r="C18" s="3" t="inlineStr">
        <is>
          <t xml:space="preserve">Sales Value (Crs.)</t>
        </is>
      </c>
      <c r="D18" s="5">
        <v>153.0</v>
      </c>
      <c r="E18" s="5">
        <v>134.6</v>
      </c>
      <c r="F18" s="5">
        <v>461.6</v>
      </c>
      <c r="G18" s="5">
        <v>418.2</v>
      </c>
      <c r="H18" s="5">
        <v>1754.9</v>
      </c>
      <c r="I18" s="5">
        <v>1745.6</v>
      </c>
    </row>
    <row r="19">
      <c r="A19" s="3" t="inlineStr">
        <is>
          <t xml:space="preserve">GT</t>
        </is>
      </c>
      <c r="B19" s="3" t="inlineStr">
        <is>
          <t xml:space="preserve">Category</t>
        </is>
      </c>
      <c r="C19" s="3" t="inlineStr">
        <is>
          <t xml:space="preserve">MS Val</t>
        </is>
      </c>
      <c r="D19" s="5">
        <v>100.0</v>
      </c>
      <c r="E19" s="5">
        <v>100.0</v>
      </c>
      <c r="F19" s="5">
        <v>100.0</v>
      </c>
      <c r="G19" s="5">
        <v>100.0</v>
      </c>
      <c r="H19" s="5">
        <v>100.0</v>
      </c>
      <c r="I19" s="5">
        <v>100.0</v>
      </c>
    </row>
    <row r="20">
      <c r="A20" s="3" t="inlineStr">
        <is>
          <t xml:space="preserve">GT</t>
        </is>
      </c>
      <c r="B20" s="3" t="inlineStr">
        <is>
          <t xml:space="preserve">Category</t>
        </is>
      </c>
      <c r="C20" s="3" t="inlineStr">
        <is>
          <t xml:space="preserve">MS Vol</t>
        </is>
      </c>
      <c r="D20" s="5">
        <v>100.0</v>
      </c>
      <c r="E20" s="5">
        <v>100.0</v>
      </c>
      <c r="F20" s="5">
        <v>100.0</v>
      </c>
      <c r="G20" s="5">
        <v>100.0</v>
      </c>
      <c r="H20" s="5">
        <v>100.0</v>
      </c>
      <c r="I20" s="5">
        <v>100.0</v>
      </c>
    </row>
    <row r="21">
      <c r="A21" s="3" t="inlineStr">
        <is>
          <t xml:space="preserve">GT</t>
        </is>
      </c>
      <c r="B21" s="3" t="inlineStr">
        <is>
          <t xml:space="preserve">Category</t>
        </is>
      </c>
      <c r="C21" s="3" t="inlineStr">
        <is>
          <t xml:space="preserve">Number of Stores Retailing</t>
        </is>
      </c>
      <c r="D21" s="5">
        <v>991620.9</v>
      </c>
      <c r="E21" s="5">
        <v>961556.8</v>
      </c>
      <c r="F21" s="5">
        <v>1042417.4</v>
      </c>
      <c r="G21" s="5">
        <v>1003282.1</v>
      </c>
      <c r="H21" s="5">
        <v>1184969.0</v>
      </c>
      <c r="I21" s="5">
        <v>1122456.9</v>
      </c>
    </row>
    <row r="22">
      <c r="A22" s="3" t="inlineStr">
        <is>
          <t xml:space="preserve">GT</t>
        </is>
      </c>
      <c r="B22" s="3" t="inlineStr">
        <is>
          <t xml:space="preserve">Category</t>
        </is>
      </c>
      <c r="C22" s="3" t="inlineStr">
        <is>
          <t xml:space="preserve">Wghtd Dist Handling</t>
        </is>
      </c>
      <c r="D22" s="5">
        <v>100.0</v>
      </c>
      <c r="E22" s="5">
        <v>100.0</v>
      </c>
      <c r="F22" s="5">
        <v>100.0</v>
      </c>
      <c r="G22" s="5">
        <v>100.0</v>
      </c>
      <c r="H22" s="5">
        <v>100.0</v>
      </c>
      <c r="I22" s="5">
        <v>100.0</v>
      </c>
    </row>
    <row r="23">
      <c r="A23" s="3" t="inlineStr">
        <is>
          <t xml:space="preserve">GT</t>
        </is>
      </c>
      <c r="B23" s="3" t="inlineStr">
        <is>
          <t xml:space="preserve">Category</t>
        </is>
      </c>
      <c r="C23" s="3" t="inlineStr">
        <is>
          <t xml:space="preserve">Per Dealer Offtake (PDO) (Value)</t>
        </is>
      </c>
      <c r="D23" s="5">
        <v>1543.2</v>
      </c>
      <c r="E23" s="5">
        <v>1399.5</v>
      </c>
      <c r="F23" s="5">
        <v>1476.0</v>
      </c>
      <c r="G23" s="5">
        <v>1389.4</v>
      </c>
      <c r="H23" s="5">
        <v>1234.2</v>
      </c>
      <c r="I23" s="5">
        <v>1296.0</v>
      </c>
    </row>
    <row r="24">
      <c r="A24" s="3" t="inlineStr">
        <is>
          <t xml:space="preserve">GT</t>
        </is>
      </c>
      <c r="B24" s="3" t="inlineStr">
        <is>
          <t xml:space="preserve">Category</t>
        </is>
      </c>
      <c r="C24" s="3" t="inlineStr">
        <is>
          <t xml:space="preserve">Price per ml</t>
        </is>
      </c>
      <c r="D24" s="5">
        <v>1.0</v>
      </c>
      <c r="E24" s="5">
        <v>1.0</v>
      </c>
      <c r="F24" s="5">
        <v>1.0</v>
      </c>
      <c r="G24" s="5">
        <v>1.0</v>
      </c>
      <c r="H24" s="5">
        <v>0.9</v>
      </c>
      <c r="I24" s="5">
        <v>1.0</v>
      </c>
    </row>
    <row r="25">
      <c r="A25" s="3" t="inlineStr">
        <is>
          <t xml:space="preserve">GT</t>
        </is>
      </c>
      <c r="B25" s="3" t="inlineStr">
        <is>
          <t xml:space="preserve">Mamaearth</t>
        </is>
      </c>
      <c r="C25" s="3" t="inlineStr">
        <is>
          <t xml:space="preserve">Sales Value (Crs.)</t>
        </is>
      </c>
      <c r="D25" s="5">
        <v>1.5</v>
      </c>
      <c r="E25" s="5">
        <v>1.2</v>
      </c>
      <c r="F25" s="5">
        <v>4.5</v>
      </c>
      <c r="G25" s="5">
        <v>3.5</v>
      </c>
      <c r="H25" s="5">
        <v>20.6</v>
      </c>
      <c r="I25" s="5">
        <v>15.9</v>
      </c>
    </row>
    <row r="26">
      <c r="A26" s="3" t="inlineStr">
        <is>
          <t xml:space="preserve">GT</t>
        </is>
      </c>
      <c r="B26" s="3" t="inlineStr">
        <is>
          <t xml:space="preserve">Mamaearth</t>
        </is>
      </c>
      <c r="C26" s="3" t="inlineStr">
        <is>
          <t xml:space="preserve">MS Val</t>
        </is>
      </c>
      <c r="D26" s="5">
        <v>1.0</v>
      </c>
      <c r="E26" s="5">
        <v>0.9</v>
      </c>
      <c r="F26" s="5">
        <v>1.0</v>
      </c>
      <c r="G26" s="5">
        <v>0.8</v>
      </c>
      <c r="H26" s="5">
        <v>1.2</v>
      </c>
      <c r="I26" s="5">
        <v>0.9</v>
      </c>
    </row>
    <row r="27">
      <c r="A27" s="3" t="inlineStr">
        <is>
          <t xml:space="preserve">GT</t>
        </is>
      </c>
      <c r="B27" s="3" t="inlineStr">
        <is>
          <t xml:space="preserve">Mamaearth</t>
        </is>
      </c>
      <c r="C27" s="3" t="inlineStr">
        <is>
          <t xml:space="preserve">MS Vol</t>
        </is>
      </c>
      <c r="D27" s="5">
        <v>0.7</v>
      </c>
      <c r="E27" s="5">
        <v>0.7</v>
      </c>
      <c r="F27" s="5">
        <v>0.7</v>
      </c>
      <c r="G27" s="5">
        <v>0.7</v>
      </c>
      <c r="H27" s="5">
        <v>0.8</v>
      </c>
      <c r="I27" s="5">
        <v>0.7</v>
      </c>
    </row>
    <row r="28">
      <c r="A28" s="3" t="inlineStr">
        <is>
          <t xml:space="preserve">GT</t>
        </is>
      </c>
      <c r="B28" s="3" t="inlineStr">
        <is>
          <t xml:space="preserve">Mamaearth</t>
        </is>
      </c>
      <c r="C28" s="3" t="inlineStr">
        <is>
          <t xml:space="preserve">Number of Stores Retailing</t>
        </is>
      </c>
      <c r="D28" s="5">
        <v>73353.4</v>
      </c>
      <c r="E28" s="5">
        <v>66749.7</v>
      </c>
      <c r="F28" s="5">
        <v>82689.0</v>
      </c>
      <c r="G28" s="5">
        <v>77869.3</v>
      </c>
      <c r="H28" s="5">
        <v>110746.8</v>
      </c>
      <c r="I28" s="5">
        <v>100705.0</v>
      </c>
    </row>
    <row r="29">
      <c r="A29" s="3" t="inlineStr">
        <is>
          <t xml:space="preserve">GT</t>
        </is>
      </c>
      <c r="B29" s="3" t="inlineStr">
        <is>
          <t xml:space="preserve">Mamaearth</t>
        </is>
      </c>
      <c r="C29" s="3" t="inlineStr">
        <is>
          <t xml:space="preserve">Wghtd Dist Handling</t>
        </is>
      </c>
      <c r="D29" s="5">
        <v>28.3</v>
      </c>
      <c r="E29" s="5">
        <v>23.3</v>
      </c>
      <c r="F29" s="5">
        <v>31.6</v>
      </c>
      <c r="G29" s="5">
        <v>29.0</v>
      </c>
      <c r="H29" s="5">
        <v>39.7</v>
      </c>
      <c r="I29" s="5">
        <v>37.4</v>
      </c>
    </row>
    <row r="30">
      <c r="A30" s="3" t="inlineStr">
        <is>
          <t xml:space="preserve">GT</t>
        </is>
      </c>
      <c r="B30" s="3" t="inlineStr">
        <is>
          <t xml:space="preserve">Mamaearth</t>
        </is>
      </c>
      <c r="C30" s="3" t="inlineStr">
        <is>
          <t xml:space="preserve">Per Dealer Offtake (PDO) (Value)</t>
        </is>
      </c>
      <c r="D30" s="5">
        <v>201.3</v>
      </c>
      <c r="E30" s="5">
        <v>179.7</v>
      </c>
      <c r="F30" s="5">
        <v>179.6</v>
      </c>
      <c r="G30" s="5">
        <v>148.3</v>
      </c>
      <c r="H30" s="5">
        <v>154.7</v>
      </c>
      <c r="I30" s="5">
        <v>131.7</v>
      </c>
    </row>
    <row r="31">
      <c r="A31" s="3" t="inlineStr">
        <is>
          <t xml:space="preserve">GT</t>
        </is>
      </c>
      <c r="B31" s="3" t="inlineStr">
        <is>
          <t xml:space="preserve">Mamaearth</t>
        </is>
      </c>
      <c r="C31" s="3" t="inlineStr">
        <is>
          <t xml:space="preserve">Price per ml</t>
        </is>
      </c>
      <c r="D31" s="5">
        <v>1.3</v>
      </c>
      <c r="E31" s="5">
        <v>1.2</v>
      </c>
      <c r="F31" s="5">
        <v>1.3</v>
      </c>
      <c r="G31" s="5">
        <v>1.2</v>
      </c>
      <c r="H31" s="5">
        <v>1.3</v>
      </c>
      <c r="I31" s="5">
        <v>1.3</v>
      </c>
    </row>
    <row r="33">
      <c r="A33" s="7" t="inlineStr">
        <is>
          <t xml:space="preserve">Source: Honasa_Shampoo_Subbrand_Report_Monthly_June_26.csv. Category row = blank BRAND/SUBBRAND (category total).</t>
        </is>
      </c>
    </row>
  </sheetData>
  <mergeCells count="2">
    <mergeCell ref="A1:I1"/>
    <mergeCell ref="A33:I33"/>
  </mergeCells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20" customWidth="1"/>
    <col min="3" max="3" width="24" customWidth="1"/>
  </cols>
  <sheetData>
    <row r="1">
      <c r="A1" s="1" t="inlineStr">
        <is>
          <t xml:space="preserve">SHAMPOO PACK MIX — MT vs GT (Sales Value, Jun'26)</t>
        </is>
      </c>
    </row>
    <row r="3">
      <c r="A3" s="2" t="inlineStr">
        <is>
          <t xml:space="preserve">Channel</t>
        </is>
      </c>
      <c r="B3" s="2" t="inlineStr">
        <is>
          <t xml:space="preserve">Base Pack Size (ml)</t>
        </is>
      </c>
      <c r="C3" s="2" t="inlineStr">
        <is>
          <t xml:space="preserve">Sales Value Jun'26 (Cr)</t>
        </is>
      </c>
    </row>
    <row r="4">
      <c r="A4" s="4" t="inlineStr">
        <is>
          <t xml:space="preserve">MT</t>
        </is>
      </c>
      <c r="B4" s="6">
        <v>650.0</v>
      </c>
      <c r="C4" s="6">
        <v>41.4</v>
      </c>
    </row>
    <row r="5">
      <c r="A5" s="4" t="inlineStr">
        <is>
          <t xml:space="preserve">MT</t>
        </is>
      </c>
      <c r="B5" s="6">
        <v>180.0</v>
      </c>
      <c r="C5" s="6">
        <v>22.2</v>
      </c>
    </row>
    <row r="6">
      <c r="A6" s="4" t="inlineStr">
        <is>
          <t xml:space="preserve">MT</t>
        </is>
      </c>
      <c r="B6" s="6">
        <v>340.0</v>
      </c>
      <c r="C6" s="6">
        <v>22.2</v>
      </c>
    </row>
    <row r="7">
      <c r="A7" s="4" t="inlineStr">
        <is>
          <t xml:space="preserve">MT</t>
        </is>
      </c>
      <c r="B7" s="6">
        <v>1000.0</v>
      </c>
      <c r="C7" s="6">
        <v>20.1</v>
      </c>
    </row>
    <row r="8">
      <c r="A8" s="4" t="inlineStr">
        <is>
          <t xml:space="preserve">MT</t>
        </is>
      </c>
      <c r="B8" s="6">
        <v>200.0</v>
      </c>
      <c r="C8" s="6">
        <v>6.7</v>
      </c>
    </row>
    <row r="9">
      <c r="A9" s="4" t="inlineStr">
        <is>
          <t xml:space="preserve">MT</t>
        </is>
      </c>
      <c r="B9" s="6">
        <v>400.0</v>
      </c>
      <c r="C9" s="6">
        <v>6.7</v>
      </c>
    </row>
    <row r="10">
      <c r="A10" s="4" t="inlineStr">
        <is>
          <t xml:space="preserve">MT</t>
        </is>
      </c>
      <c r="B10" s="6">
        <v>580.0</v>
      </c>
      <c r="C10" s="6">
        <v>6.1</v>
      </c>
    </row>
    <row r="11">
      <c r="A11" s="4" t="inlineStr">
        <is>
          <t xml:space="preserve">MT</t>
        </is>
      </c>
      <c r="B11" s="6">
        <v>175.0</v>
      </c>
      <c r="C11" s="6">
        <v>4.2</v>
      </c>
    </row>
    <row r="12">
      <c r="A12" s="3" t="inlineStr">
        <is>
          <t xml:space="preserve">GT</t>
        </is>
      </c>
      <c r="B12" s="5">
        <v>180.0</v>
      </c>
      <c r="C12" s="5">
        <v>25.3</v>
      </c>
    </row>
    <row r="13">
      <c r="A13" s="3" t="inlineStr">
        <is>
          <t xml:space="preserve">GT</t>
        </is>
      </c>
      <c r="B13" s="5">
        <v>100.0</v>
      </c>
      <c r="C13" s="5">
        <v>16.4</v>
      </c>
    </row>
    <row r="14">
      <c r="A14" s="3" t="inlineStr">
        <is>
          <t xml:space="preserve">GT</t>
        </is>
      </c>
      <c r="B14" s="5">
        <v>200.0</v>
      </c>
      <c r="C14" s="5">
        <v>13.3</v>
      </c>
    </row>
    <row r="15">
      <c r="A15" s="3" t="inlineStr">
        <is>
          <t xml:space="preserve">GT</t>
        </is>
      </c>
      <c r="B15" s="5">
        <v>340.0</v>
      </c>
      <c r="C15" s="5">
        <v>9.2</v>
      </c>
    </row>
    <row r="16">
      <c r="A16" s="3" t="inlineStr">
        <is>
          <t xml:space="preserve">GT</t>
        </is>
      </c>
      <c r="B16" s="5">
        <v>80.0</v>
      </c>
      <c r="C16" s="5">
        <v>7.2</v>
      </c>
    </row>
    <row r="17">
      <c r="A17" s="3" t="inlineStr">
        <is>
          <t xml:space="preserve">GT</t>
        </is>
      </c>
      <c r="B17" s="5">
        <v>75.0</v>
      </c>
      <c r="C17" s="5">
        <v>6.4</v>
      </c>
    </row>
    <row r="18">
      <c r="A18" s="3" t="inlineStr">
        <is>
          <t xml:space="preserve">GT</t>
        </is>
      </c>
      <c r="B18" s="5">
        <v>650.0</v>
      </c>
      <c r="C18" s="5">
        <v>5.9</v>
      </c>
    </row>
    <row r="19">
      <c r="A19" s="3" t="inlineStr">
        <is>
          <t xml:space="preserve">GT</t>
        </is>
      </c>
      <c r="B19" s="5">
        <v>1000.0</v>
      </c>
      <c r="C19" s="5">
        <v>5.1</v>
      </c>
    </row>
    <row r="21">
      <c r="A21" s="7" t="inlineStr">
        <is>
          <t xml:space="preserve">Source: Honasa_Shampoo_Base_Pack_Size_Monthly_June_26.csv. Top 8 packs by value per channel.</t>
        </is>
      </c>
    </row>
  </sheetData>
  <mergeCells count="2">
    <mergeCell ref="A1:C1"/>
    <mergeCell ref="A21:C21"/>
  </mergeCells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3" customWidth="1"/>
    <col min="4" max="4" width="11" customWidth="1"/>
    <col min="5" max="5" width="11" customWidth="1"/>
    <col min="6" max="6" width="11" customWidth="1"/>
    <col min="7" max="7" width="12" customWidth="1"/>
    <col min="8" max="8" width="12" customWidth="1"/>
  </cols>
  <sheetData>
    <row r="1">
      <c r="A1" s="1" t="inlineStr">
        <is>
          <t xml:space="preserve">NIELSEN COMPETITIVE, PACK &amp; STATE READOUT — National Urban, May'26 (separate source, not MT/GT split)</t>
        </is>
      </c>
    </row>
    <row r="3">
      <c r="A3" s="12" t="inlineStr">
        <is>
          <t xml:space="preserve">FACEWASH — Top competitors (National Urban Nielsen MS Val, May'26)</t>
        </is>
      </c>
    </row>
    <row r="4">
      <c r="A4" s="2" t="inlineStr">
        <is>
          <t xml:space="preserve">Rank</t>
        </is>
      </c>
      <c r="B4" s="2" t="inlineStr">
        <is>
          <t xml:space="preserve">Brand</t>
        </is>
      </c>
      <c r="C4" s="2" t="inlineStr">
        <is>
          <t xml:space="preserve">Value (Cr)</t>
        </is>
      </c>
      <c r="D4" s="2" t="inlineStr">
        <is>
          <t xml:space="preserve">YoY Val %</t>
        </is>
      </c>
      <c r="E4" s="2" t="inlineStr">
        <is>
          <t xml:space="preserve">MS Val %</t>
        </is>
      </c>
      <c r="F4" s="2" t="inlineStr">
        <is>
          <t xml:space="preserve">MoM (bps)</t>
        </is>
      </c>
      <c r="G4" s="2" t="inlineStr">
        <is>
          <t xml:space="preserve">YoY (bps)</t>
        </is>
      </c>
      <c r="H4" s="2" t="inlineStr">
        <is>
          <t xml:space="preserve">Wtd Dist %</t>
        </is>
      </c>
    </row>
    <row r="5">
      <c r="A5" s="0">
        <v>1</v>
      </c>
      <c r="B5" s="0" t="inlineStr">
        <is>
          <t xml:space="preserve">Himalaya</t>
        </is>
      </c>
      <c r="C5" s="0">
        <v>17.9</v>
      </c>
      <c r="D5" s="0">
        <v>-2</v>
      </c>
      <c r="E5" s="0">
        <v>22</v>
      </c>
      <c r="F5" s="0">
        <v>20</v>
      </c>
      <c r="G5" s="0">
        <v>-328</v>
      </c>
      <c r="H5" s="0">
        <v>100</v>
      </c>
    </row>
    <row r="6">
      <c r="A6" s="0">
        <v>2</v>
      </c>
      <c r="B6" s="0" t="inlineStr">
        <is>
          <t xml:space="preserve">Garnier</t>
        </is>
      </c>
      <c r="C6" s="0">
        <v>11.8</v>
      </c>
      <c r="D6" s="0">
        <v>17</v>
      </c>
      <c r="E6" s="0">
        <v>14</v>
      </c>
      <c r="F6" s="0">
        <v>43</v>
      </c>
      <c r="G6" s="0">
        <v>55</v>
      </c>
      <c r="H6" s="0">
        <v>90</v>
      </c>
    </row>
    <row r="7">
      <c r="A7" s="0">
        <v>3</v>
      </c>
      <c r="B7" s="0" t="inlineStr">
        <is>
          <t xml:space="preserve">Pond's</t>
        </is>
      </c>
      <c r="C7" s="0">
        <v>11.4</v>
      </c>
      <c r="D7" s="0">
        <v>8</v>
      </c>
      <c r="E7" s="0">
        <v>14</v>
      </c>
      <c r="F7" s="0">
        <v>-114</v>
      </c>
      <c r="G7" s="0">
        <v>-61</v>
      </c>
      <c r="H7" s="0">
        <v>98</v>
      </c>
    </row>
    <row r="8">
      <c r="A8" s="4">
        <v>4</v>
      </c>
      <c r="B8" s="4" t="inlineStr">
        <is>
          <t xml:space="preserve">Mamaearth</t>
        </is>
      </c>
      <c r="C8" s="4">
        <v>9.6</v>
      </c>
      <c r="D8" s="4">
        <v>54</v>
      </c>
      <c r="E8" s="4">
        <v>12</v>
      </c>
      <c r="F8" s="4">
        <v>0</v>
      </c>
      <c r="G8" s="4">
        <v>311</v>
      </c>
      <c r="H8" s="4">
        <v>87</v>
      </c>
    </row>
    <row r="9">
      <c r="A9" s="0">
        <v>5</v>
      </c>
      <c r="B9" s="0" t="inlineStr">
        <is>
          <t xml:space="preserve">Clean &amp; Clear</t>
        </is>
      </c>
      <c r="C9" s="0">
        <v>6.3</v>
      </c>
      <c r="D9" s="0">
        <v>16</v>
      </c>
      <c r="E9" s="0">
        <v>8</v>
      </c>
      <c r="F9" s="0">
        <v>3</v>
      </c>
      <c r="G9" s="0">
        <v>22</v>
      </c>
      <c r="H9" s="0">
        <v>97</v>
      </c>
    </row>
    <row r="10">
      <c r="A10" s="0">
        <v>6</v>
      </c>
      <c r="B10" s="0" t="inlineStr">
        <is>
          <t xml:space="preserve">Joy</t>
        </is>
      </c>
      <c r="C10" s="0">
        <v>4.9</v>
      </c>
      <c r="D10" s="0">
        <v>7</v>
      </c>
      <c r="E10" s="0">
        <v>6</v>
      </c>
      <c r="F10" s="0">
        <v>7</v>
      </c>
      <c r="G10" s="0">
        <v>-30</v>
      </c>
      <c r="H10" s="0">
        <v>76</v>
      </c>
    </row>
    <row r="11">
      <c r="A11" s="0">
        <v>7</v>
      </c>
      <c r="B11" s="0" t="inlineStr">
        <is>
          <t xml:space="preserve">Lakme</t>
        </is>
      </c>
      <c r="C11" s="0">
        <v>3.1</v>
      </c>
      <c r="D11" s="0">
        <v>23</v>
      </c>
      <c r="E11" s="0">
        <v>4</v>
      </c>
      <c r="F11" s="0">
        <v>60</v>
      </c>
      <c r="G11" s="0">
        <v>31</v>
      </c>
      <c r="H11" s="0">
        <v>79</v>
      </c>
    </row>
    <row r="12">
      <c r="A12" s="0">
        <v>8</v>
      </c>
      <c r="B12" s="0" t="inlineStr">
        <is>
          <t xml:space="preserve">Nivea Men</t>
        </is>
      </c>
      <c r="C12" s="0">
        <v>3.0</v>
      </c>
      <c r="D12" s="0">
        <v>-2</v>
      </c>
      <c r="E12" s="0">
        <v>4</v>
      </c>
      <c r="F12" s="0">
        <v>-7</v>
      </c>
      <c r="G12" s="0">
        <v>-54</v>
      </c>
      <c r="H12" s="0">
        <v>86</v>
      </c>
    </row>
    <row r="13">
      <c r="A13" s="0">
        <v>9</v>
      </c>
      <c r="B13" s="0" t="inlineStr">
        <is>
          <t xml:space="preserve">Simple</t>
        </is>
      </c>
      <c r="C13" s="0">
        <v>1.9</v>
      </c>
      <c r="D13" s="0"/>
      <c r="E13" s="0">
        <v>2</v>
      </c>
      <c r="F13" s="0">
        <v>36</v>
      </c>
      <c r="G13" s="0">
        <v>223</v>
      </c>
      <c r="H13" s="0">
        <v>51</v>
      </c>
    </row>
    <row r="14">
      <c r="A14" s="4">
        <v>16</v>
      </c>
      <c r="B14" s="4" t="inlineStr">
        <is>
          <t xml:space="preserve">The Derma Co</t>
        </is>
      </c>
      <c r="C14" s="4">
        <v>0.606</v>
      </c>
      <c r="D14" s="4">
        <v>3940</v>
      </c>
      <c r="E14" s="4">
        <v>0.7</v>
      </c>
      <c r="F14" s="4">
        <v>6</v>
      </c>
      <c r="G14" s="4">
        <v>71</v>
      </c>
      <c r="H14" s="4">
        <v>14</v>
      </c>
    </row>
    <row r="16">
      <c r="A16" s="12" t="inlineStr">
        <is>
          <t xml:space="preserve">SHAMPOO — Top competitors (National Urban Nielsen MS Val, May'26)</t>
        </is>
      </c>
    </row>
    <row r="17">
      <c r="A17" s="2" t="inlineStr">
        <is>
          <t xml:space="preserve">Rank</t>
        </is>
      </c>
      <c r="B17" s="2" t="inlineStr">
        <is>
          <t xml:space="preserve">Brand</t>
        </is>
      </c>
      <c r="C17" s="2" t="inlineStr">
        <is>
          <t xml:space="preserve">Value (Cr)</t>
        </is>
      </c>
      <c r="D17" s="2" t="inlineStr">
        <is>
          <t xml:space="preserve">YoY Val %</t>
        </is>
      </c>
      <c r="E17" s="2" t="inlineStr">
        <is>
          <t xml:space="preserve">MS Val %</t>
        </is>
      </c>
      <c r="F17" s="2" t="inlineStr">
        <is>
          <t xml:space="preserve">MoM (bps)</t>
        </is>
      </c>
      <c r="G17" s="2" t="inlineStr">
        <is>
          <t xml:space="preserve">YoY (bps)</t>
        </is>
      </c>
      <c r="H17" s="2" t="inlineStr">
        <is>
          <t xml:space="preserve">Wtd Dist %</t>
        </is>
      </c>
    </row>
    <row r="18">
      <c r="A18" s="0">
        <v>1</v>
      </c>
      <c r="B18" s="0" t="inlineStr">
        <is>
          <t xml:space="preserve">Dove</t>
        </is>
      </c>
      <c r="C18" s="0">
        <v>29.6</v>
      </c>
      <c r="D18" s="0">
        <v>7</v>
      </c>
      <c r="E18" s="0">
        <v>18</v>
      </c>
      <c r="F18" s="0">
        <v>170</v>
      </c>
      <c r="G18" s="0">
        <v>20</v>
      </c>
      <c r="H18" s="0">
        <v>99</v>
      </c>
    </row>
    <row r="19">
      <c r="A19" s="0">
        <v>2</v>
      </c>
      <c r="B19" s="0" t="inlineStr">
        <is>
          <t xml:space="preserve">L'Oreal Paris</t>
        </is>
      </c>
      <c r="C19" s="0">
        <v>22.1</v>
      </c>
      <c r="D19" s="0">
        <v>20</v>
      </c>
      <c r="E19" s="0">
        <v>13</v>
      </c>
      <c r="F19" s="0">
        <v>70</v>
      </c>
      <c r="G19" s="0">
        <v>130</v>
      </c>
      <c r="H19" s="0">
        <v>91</v>
      </c>
    </row>
    <row r="20">
      <c r="A20" s="0">
        <v>3</v>
      </c>
      <c r="B20" s="0" t="inlineStr">
        <is>
          <t xml:space="preserve">Head &amp; Shoulders</t>
        </is>
      </c>
      <c r="C20" s="0">
        <v>19.0</v>
      </c>
      <c r="D20" s="0">
        <v>-8</v>
      </c>
      <c r="E20" s="0">
        <v>11</v>
      </c>
      <c r="F20" s="0">
        <v>130</v>
      </c>
      <c r="G20" s="0">
        <v>200</v>
      </c>
      <c r="H20" s="0">
        <v>99</v>
      </c>
    </row>
    <row r="21">
      <c r="A21" s="0">
        <v>4</v>
      </c>
      <c r="B21" s="0" t="inlineStr">
        <is>
          <t xml:space="preserve">Tresemme</t>
        </is>
      </c>
      <c r="C21" s="0">
        <v>17.3</v>
      </c>
      <c r="D21" s="0">
        <v>25</v>
      </c>
      <c r="E21" s="0">
        <v>10</v>
      </c>
      <c r="F21" s="0">
        <v>90</v>
      </c>
      <c r="G21" s="0">
        <v>140</v>
      </c>
      <c r="H21" s="0">
        <v>98</v>
      </c>
    </row>
    <row r="22">
      <c r="A22" s="0">
        <v>5</v>
      </c>
      <c r="B22" s="0" t="inlineStr">
        <is>
          <t xml:space="preserve">Clinic Plus</t>
        </is>
      </c>
      <c r="C22" s="0">
        <v>16.7</v>
      </c>
      <c r="D22" s="0">
        <v>14</v>
      </c>
      <c r="E22" s="0">
        <v>10</v>
      </c>
      <c r="F22" s="0">
        <v>30</v>
      </c>
      <c r="G22" s="0">
        <v>50</v>
      </c>
      <c r="H22" s="0">
        <v>99</v>
      </c>
    </row>
    <row r="23">
      <c r="A23" s="0">
        <v>6</v>
      </c>
      <c r="B23" s="0" t="inlineStr">
        <is>
          <t xml:space="preserve">Sunsilk</t>
        </is>
      </c>
      <c r="C23" s="0">
        <v>14.8</v>
      </c>
      <c r="D23" s="0">
        <v>-7</v>
      </c>
      <c r="E23" s="0">
        <v>9</v>
      </c>
      <c r="F23" s="0">
        <v>0</v>
      </c>
      <c r="G23" s="0">
        <v>150</v>
      </c>
      <c r="H23" s="0">
        <v>99</v>
      </c>
    </row>
    <row r="24">
      <c r="A24" s="4">
        <v>7</v>
      </c>
      <c r="B24" s="4" t="inlineStr">
        <is>
          <t xml:space="preserve">Mamaearth</t>
        </is>
      </c>
      <c r="C24" s="4">
        <v>6.5</v>
      </c>
      <c r="D24" s="4">
        <v>64</v>
      </c>
      <c r="E24" s="4">
        <v>4</v>
      </c>
      <c r="F24" s="4">
        <v>30</v>
      </c>
      <c r="G24" s="4">
        <v>130</v>
      </c>
      <c r="H24" s="4">
        <v>81</v>
      </c>
    </row>
    <row r="25">
      <c r="A25" s="0">
        <v>8</v>
      </c>
      <c r="B25" s="0" t="inlineStr">
        <is>
          <t xml:space="preserve">Pantene</t>
        </is>
      </c>
      <c r="C25" s="0">
        <v>6.5</v>
      </c>
      <c r="D25" s="0">
        <v>-4</v>
      </c>
      <c r="E25" s="0">
        <v>4</v>
      </c>
      <c r="F25" s="0">
        <v>30</v>
      </c>
      <c r="G25" s="0">
        <v>50</v>
      </c>
      <c r="H25" s="0">
        <v>96</v>
      </c>
    </row>
    <row r="26">
      <c r="A26" s="0">
        <v>9</v>
      </c>
      <c r="B26" s="0" t="inlineStr">
        <is>
          <t xml:space="preserve">Himalaya</t>
        </is>
      </c>
      <c r="C26" s="0">
        <v>5.7</v>
      </c>
      <c r="D26" s="0">
        <v>2</v>
      </c>
      <c r="E26" s="0">
        <v>3</v>
      </c>
      <c r="F26" s="0">
        <v>40</v>
      </c>
      <c r="G26" s="0">
        <v>20</v>
      </c>
      <c r="H26" s="0">
        <v>91</v>
      </c>
    </row>
    <row r="28">
      <c r="A28" s="12" t="inlineStr">
        <is>
          <t xml:space="preserve">Mamaearth Facewash — pack size (National Urban, May'26)</t>
        </is>
      </c>
    </row>
    <row r="29">
      <c r="A29" s="2" t="inlineStr">
        <is>
          <t xml:space="preserve">Rank</t>
        </is>
      </c>
      <c r="B29" s="2" t="inlineStr">
        <is>
          <t xml:space="preserve">Pack</t>
        </is>
      </c>
      <c r="C29" s="2" t="inlineStr">
        <is>
          <t xml:space="preserve">Contribution %</t>
        </is>
      </c>
      <c r="D29" s="2" t="inlineStr">
        <is>
          <t xml:space="preserve">MoM (bps)</t>
        </is>
      </c>
      <c r="E29" s="2" t="inlineStr">
        <is>
          <t xml:space="preserve">YoY (bps)</t>
        </is>
      </c>
      <c r="F29" s="2" t="inlineStr">
        <is>
          <t xml:space="preserve">Value (Cr)</t>
        </is>
      </c>
      <c r="G29" s="2" t="inlineStr">
        <is>
          <t xml:space="preserve">YoY Growth %</t>
        </is>
      </c>
    </row>
    <row r="30">
      <c r="A30" s="4">
        <v>1</v>
      </c>
      <c r="B30" s="4" t="inlineStr">
        <is>
          <t xml:space="preserve">150ml</t>
        </is>
      </c>
      <c r="C30" s="4">
        <v>58</v>
      </c>
      <c r="D30" s="4">
        <v>-40</v>
      </c>
      <c r="E30" s="4">
        <v>290</v>
      </c>
      <c r="F30" s="4">
        <v>5.53</v>
      </c>
      <c r="G30" s="4">
        <v>98</v>
      </c>
    </row>
    <row r="31">
      <c r="A31" s="4">
        <v>2</v>
      </c>
      <c r="B31" s="4" t="inlineStr">
        <is>
          <t xml:space="preserve">100ml</t>
        </is>
      </c>
      <c r="C31" s="4">
        <v>21</v>
      </c>
      <c r="D31" s="4">
        <v>-40</v>
      </c>
      <c r="E31" s="4">
        <v>-60</v>
      </c>
      <c r="F31" s="4">
        <v>1.96</v>
      </c>
      <c r="G31" s="4">
        <v>-11</v>
      </c>
    </row>
    <row r="32">
      <c r="A32" s="4">
        <v>3</v>
      </c>
      <c r="B32" s="4" t="inlineStr">
        <is>
          <t xml:space="preserve">200ml</t>
        </is>
      </c>
      <c r="C32" s="4">
        <v>11</v>
      </c>
      <c r="D32" s="4">
        <v>90</v>
      </c>
      <c r="E32" s="4">
        <v>130</v>
      </c>
      <c r="F32" s="4">
        <v>1.06</v>
      </c>
      <c r="G32" s="4"/>
    </row>
    <row r="33">
      <c r="A33" s="4">
        <v>4</v>
      </c>
      <c r="B33" s="4" t="inlineStr">
        <is>
          <t xml:space="preserve">50ml</t>
        </is>
      </c>
      <c r="C33" s="4">
        <v>11</v>
      </c>
      <c r="D33" s="4">
        <v>-10</v>
      </c>
      <c r="E33" s="4">
        <v>50</v>
      </c>
      <c r="F33" s="4">
        <v>1.01</v>
      </c>
      <c r="G33" s="4">
        <v>80</v>
      </c>
    </row>
    <row r="34">
      <c r="A34" s="4">
        <v>5</v>
      </c>
      <c r="B34" s="4" t="inlineStr">
        <is>
          <t xml:space="preserve">250ml</t>
        </is>
      </c>
      <c r="C34" s="4">
        <v>0</v>
      </c>
      <c r="D34" s="4">
        <v>0</v>
      </c>
      <c r="E34" s="4">
        <v>-80</v>
      </c>
      <c r="F34" s="4">
        <v>0.04</v>
      </c>
      <c r="G34" s="4">
        <v>-94</v>
      </c>
    </row>
    <row r="36">
      <c r="A36" s="12" t="inlineStr">
        <is>
          <t xml:space="preserve">High-contribution, low-share states — distribution white space (May'26)</t>
        </is>
      </c>
    </row>
    <row r="37">
      <c r="A37" s="2" t="inlineStr">
        <is>
          <t xml:space="preserve">Category</t>
        </is>
      </c>
      <c r="B37" s="2" t="inlineStr">
        <is>
          <t xml:space="preserve">State</t>
        </is>
      </c>
      <c r="C37" s="2" t="inlineStr">
        <is>
          <t xml:space="preserve">Contribution to Category %</t>
        </is>
      </c>
      <c r="D37" s="2" t="inlineStr">
        <is>
          <t xml:space="preserve">May'26 Share %</t>
        </is>
      </c>
      <c r="E37" s="2" t="inlineStr">
        <is>
          <t xml:space="preserve">MoM (bps)</t>
        </is>
      </c>
    </row>
    <row r="38">
      <c r="A38" s="3" t="inlineStr">
        <is>
          <t xml:space="preserve">Facewash</t>
        </is>
      </c>
      <c r="B38" s="3" t="inlineStr">
        <is>
          <t xml:space="preserve">Uttar Pradesh</t>
        </is>
      </c>
      <c r="C38" s="3">
        <v>15</v>
      </c>
      <c r="D38" s="3">
        <v>6</v>
      </c>
      <c r="E38" s="3">
        <v>-122</v>
      </c>
    </row>
    <row r="39">
      <c r="A39" s="3" t="inlineStr">
        <is>
          <t xml:space="preserve">Facewash</t>
        </is>
      </c>
      <c r="B39" s="3" t="inlineStr">
        <is>
          <t xml:space="preserve">Maharashtra</t>
        </is>
      </c>
      <c r="C39" s="3">
        <v>14</v>
      </c>
      <c r="D39" s="3">
        <v>6</v>
      </c>
      <c r="E39" s="3">
        <v>16</v>
      </c>
    </row>
    <row r="40">
      <c r="A40" s="3" t="inlineStr">
        <is>
          <t xml:space="preserve">Facewash</t>
        </is>
      </c>
      <c r="B40" s="3" t="inlineStr">
        <is>
          <t xml:space="preserve">West Bengal</t>
        </is>
      </c>
      <c r="C40" s="3">
        <v>8</v>
      </c>
      <c r="D40" s="3">
        <v>5</v>
      </c>
      <c r="E40" s="3">
        <v>28</v>
      </c>
    </row>
    <row r="41">
      <c r="A41" s="0" t="inlineStr">
        <is>
          <t xml:space="preserve">Facewash</t>
        </is>
      </c>
      <c r="B41" s="0" t="inlineStr">
        <is>
          <t xml:space="preserve">Delhi</t>
        </is>
      </c>
      <c r="C41" s="0">
        <v>8</v>
      </c>
      <c r="D41" s="0">
        <v>9</v>
      </c>
      <c r="E41" s="0">
        <v>-42</v>
      </c>
    </row>
    <row r="42">
      <c r="A42" s="0" t="inlineStr">
        <is>
          <t xml:space="preserve">Facewash</t>
        </is>
      </c>
      <c r="B42" s="0" t="inlineStr">
        <is>
          <t xml:space="preserve">Haryana</t>
        </is>
      </c>
      <c r="C42" s="0">
        <v>6</v>
      </c>
      <c r="D42" s="0">
        <v>8</v>
      </c>
      <c r="E42" s="0">
        <v>148</v>
      </c>
    </row>
    <row r="43">
      <c r="A43" s="0" t="inlineStr">
        <is>
          <t xml:space="preserve">Facewash</t>
        </is>
      </c>
      <c r="B43" s="0" t="inlineStr">
        <is>
          <t xml:space="preserve">Madhya Pradesh</t>
        </is>
      </c>
      <c r="C43" s="0">
        <v>6</v>
      </c>
      <c r="D43" s="0">
        <v>7</v>
      </c>
      <c r="E43" s="0">
        <v>14</v>
      </c>
    </row>
    <row r="44">
      <c r="A44" s="0" t="inlineStr">
        <is>
          <t xml:space="preserve">Facewash</t>
        </is>
      </c>
      <c r="B44" s="0" t="inlineStr">
        <is>
          <t xml:space="preserve">Bihar</t>
        </is>
      </c>
      <c r="C44" s="0">
        <v>6</v>
      </c>
      <c r="D44" s="0">
        <v>5</v>
      </c>
      <c r="E44" s="0">
        <v>-15</v>
      </c>
    </row>
    <row r="45">
      <c r="A45" s="0" t="inlineStr">
        <is>
          <t xml:space="preserve">Facewash</t>
        </is>
      </c>
      <c r="B45" s="0" t="inlineStr">
        <is>
          <t xml:space="preserve">Gujarat</t>
        </is>
      </c>
      <c r="C45" s="0">
        <v>5</v>
      </c>
      <c r="D45" s="0">
        <v>10</v>
      </c>
      <c r="E45" s="0">
        <v>-88</v>
      </c>
    </row>
    <row r="46">
      <c r="A46" s="3" t="inlineStr">
        <is>
          <t xml:space="preserve">Shampoo</t>
        </is>
      </c>
      <c r="B46" s="3" t="inlineStr">
        <is>
          <t xml:space="preserve">Maharashtra</t>
        </is>
      </c>
      <c r="C46" s="3">
        <v>15</v>
      </c>
      <c r="D46" s="3">
        <v>1</v>
      </c>
      <c r="E46" s="3">
        <v>11</v>
      </c>
    </row>
    <row r="47">
      <c r="A47" s="3" t="inlineStr">
        <is>
          <t xml:space="preserve">Shampoo</t>
        </is>
      </c>
      <c r="B47" s="3" t="inlineStr">
        <is>
          <t xml:space="preserve">Gujarat</t>
        </is>
      </c>
      <c r="C47" s="3">
        <v>11</v>
      </c>
      <c r="D47" s="3">
        <v>3</v>
      </c>
      <c r="E47" s="3">
        <v>-61</v>
      </c>
    </row>
    <row r="48">
      <c r="A48" s="3" t="inlineStr">
        <is>
          <t xml:space="preserve">Shampoo</t>
        </is>
      </c>
      <c r="B48" s="3" t="inlineStr">
        <is>
          <t xml:space="preserve">Uttar Pradesh</t>
        </is>
      </c>
      <c r="C48" s="3">
        <v>10</v>
      </c>
      <c r="D48" s="3">
        <v>2</v>
      </c>
      <c r="E48" s="3">
        <v>-67</v>
      </c>
    </row>
    <row r="49">
      <c r="A49" s="3" t="inlineStr">
        <is>
          <t xml:space="preserve">Shampoo</t>
        </is>
      </c>
      <c r="B49" s="3" t="inlineStr">
        <is>
          <t xml:space="preserve">Delhi</t>
        </is>
      </c>
      <c r="C49" s="3">
        <v>7</v>
      </c>
      <c r="D49" s="3">
        <v>2</v>
      </c>
      <c r="E49" s="3">
        <v>16</v>
      </c>
    </row>
    <row r="50">
      <c r="A50" s="3" t="inlineStr">
        <is>
          <t xml:space="preserve">Shampoo</t>
        </is>
      </c>
      <c r="B50" s="3" t="inlineStr">
        <is>
          <t xml:space="preserve">Karnataka</t>
        </is>
      </c>
      <c r="C50" s="3">
        <v>6</v>
      </c>
      <c r="D50" s="3">
        <v>3</v>
      </c>
      <c r="E50" s="3">
        <v>42</v>
      </c>
    </row>
    <row r="51">
      <c r="A51" s="3" t="inlineStr">
        <is>
          <t xml:space="preserve">Shampoo</t>
        </is>
      </c>
      <c r="B51" s="3" t="inlineStr">
        <is>
          <t xml:space="preserve">West Bengal</t>
        </is>
      </c>
      <c r="C51" s="3">
        <v>6</v>
      </c>
      <c r="D51" s="3">
        <v>3</v>
      </c>
      <c r="E51" s="3">
        <v>53</v>
      </c>
    </row>
    <row r="52">
      <c r="A52" s="3" t="inlineStr">
        <is>
          <t xml:space="preserve">Shampoo</t>
        </is>
      </c>
      <c r="B52" s="3" t="inlineStr">
        <is>
          <t xml:space="preserve">Haryana</t>
        </is>
      </c>
      <c r="C52" s="3">
        <v>6</v>
      </c>
      <c r="D52" s="3">
        <v>2</v>
      </c>
      <c r="E52" s="3">
        <v>-5</v>
      </c>
    </row>
    <row r="53">
      <c r="A53" s="3" t="inlineStr">
        <is>
          <t xml:space="preserve">Shampoo</t>
        </is>
      </c>
      <c r="B53" s="3" t="inlineStr">
        <is>
          <t xml:space="preserve">Punjab</t>
        </is>
      </c>
      <c r="C53" s="3">
        <v>6</v>
      </c>
      <c r="D53" s="3">
        <v>1</v>
      </c>
      <c r="E53" s="3">
        <v>-33</v>
      </c>
    </row>
    <row r="55">
      <c r="A55" s="11" t="inlineStr">
        <is>
          <t xml:space="preserve">Key insight: Uttar Pradesh and Maharashtra are the two largest under-penetrated states across BOTH categories -- the biggest white-space opportunity for distribution/visibility investment. Cross-check against the dashboard Distribution tab's store-level gap analysis for these states.</t>
        </is>
      </c>
    </row>
    <row r="57">
      <c r="A57" s="7" t="inlineStr">
        <is>
          <t xml:space="preserve">Source: Nielsen National Urban MS Val readout, May'26 vintage, transcribed from the leadership deck on branch claude/retail-channel-performance-hz0q8h. This is total-market share vs named competitors, NOT the MT-vs-GT channel cut used in the other tabs of this workbook -- do not blend the two.</t>
        </is>
      </c>
    </row>
  </sheetData>
  <mergeCells count="7">
    <mergeCell ref="A1:H1"/>
    <mergeCell ref="A3:H3"/>
    <mergeCell ref="A16:H16"/>
    <mergeCell ref="A28:H28"/>
    <mergeCell ref="A36:H36"/>
    <mergeCell ref="A55:H55"/>
    <mergeCell ref="A57:H57"/>
  </mergeCells>
</worksheet>
</file>

<file path=xl/worksheets/sheet5.xml><?xml version="1.0" encoding="utf-8"?>
<worksheet xmlns="http://schemas.openxmlformats.org/spreadsheetml/2006/main">
  <cols>
    <col min="1" max="1" width="46" customWidth="1"/>
    <col min="2" max="2" width="12" customWidth="1"/>
    <col min="3" max="3" width="12" customWidth="1"/>
    <col min="4" max="4" width="30" customWidth="1"/>
  </cols>
  <sheetData>
    <row r="1">
      <c r="A1" s="1" t="inlineStr">
        <is>
          <t xml:space="preserve">MT vs GT PERFORMANCE SUMMARY — Facewash &amp; Shampoo (Mamaearth), as of Jun'26</t>
        </is>
      </c>
    </row>
    <row r="3">
      <c r="A3" s="12" t="inlineStr">
        <is>
          <t xml:space="preserve">FACEWASH</t>
        </is>
      </c>
    </row>
    <row r="4">
      <c r="A4" s="2" t="inlineStr">
        <is>
          <t xml:space="preserve">Metric</t>
        </is>
      </c>
      <c r="B4" s="2" t="inlineStr">
        <is>
          <t xml:space="preserve">MT</t>
        </is>
      </c>
      <c r="C4" s="2" t="inlineStr">
        <is>
          <t xml:space="preserve">GT</t>
        </is>
      </c>
      <c r="D4" s="2" t="inlineStr">
        <is>
          <t xml:space="preserve">Note</t>
        </is>
      </c>
    </row>
    <row r="5">
      <c r="A5" s="11" t="inlineStr">
        <is>
          <t xml:space="preserve">Category value growth (L12M)</t>
        </is>
      </c>
      <c r="B5" s="10">
        <f>=('Raw Data - Facewash'!I4-'Raw Data - Facewash'!H4)/'Raw Data - Facewash'!H4</f>
      </c>
      <c r="C5" s="9">
        <f>=('Raw Data - Facewash'!I18-'Raw Data - Facewash'!H18)/'Raw Data - Facewash'!H18</f>
      </c>
      <c r="D5" s="0" t="inlineStr">
        <is>
          <t xml:space="preserve"/>
        </is>
      </c>
    </row>
    <row r="6">
      <c r="A6" s="11" t="inlineStr">
        <is>
          <t xml:space="preserve">Mamaearth value growth (L12M)</t>
        </is>
      </c>
      <c r="B6" s="10">
        <f>=('Raw Data - Facewash'!I11-'Raw Data - Facewash'!H11)/'Raw Data - Facewash'!H11</f>
      </c>
      <c r="C6" s="9">
        <f>=('Raw Data - Facewash'!I25-'Raw Data - Facewash'!H25)/'Raw Data - Facewash'!H25</f>
      </c>
      <c r="D6" s="0" t="inlineStr">
        <is>
          <t xml:space="preserve"/>
        </is>
      </c>
    </row>
    <row r="7">
      <c r="A7" s="11" t="inlineStr">
        <is>
          <t xml:space="preserve">Mamaearth value growth (L3M)</t>
        </is>
      </c>
      <c r="B7" s="10">
        <f>=('Raw Data - Facewash'!G11-'Raw Data - Facewash'!F11)/'Raw Data - Facewash'!F11</f>
      </c>
      <c r="C7" s="9">
        <f>=('Raw Data - Facewash'!G25-'Raw Data - Facewash'!F25)/'Raw Data - Facewash'!F25</f>
      </c>
      <c r="D7" s="0" t="inlineStr">
        <is>
          <t xml:space="preserve"/>
        </is>
      </c>
    </row>
    <row r="8">
      <c r="A8" s="11" t="inlineStr">
        <is>
          <t xml:space="preserve">Mamaearth value growth (Jun vs Jun LY)</t>
        </is>
      </c>
      <c r="B8" s="10">
        <f>=('Raw Data - Facewash'!E11-'Raw Data - Facewash'!D11)/'Raw Data - Facewash'!D11</f>
      </c>
      <c r="C8" s="9">
        <f>=('Raw Data - Facewash'!E25-'Raw Data - Facewash'!D25)/'Raw Data - Facewash'!D25</f>
      </c>
      <c r="D8" s="0" t="inlineStr">
        <is>
          <t xml:space="preserve"/>
        </is>
      </c>
    </row>
    <row r="9">
      <c r="A9" s="11" t="inlineStr">
        <is>
          <t xml:space="preserve">Mamaearth Market Share Val — latest (%)</t>
        </is>
      </c>
      <c r="B9" s="10">
        <f>='Raw Data - Facewash'!I12/100</f>
      </c>
      <c r="C9" s="9">
        <f>='Raw Data - Facewash'!I26/100</f>
      </c>
      <c r="D9" s="0" t="inlineStr">
        <is>
          <t xml:space="preserve"/>
        </is>
      </c>
    </row>
    <row r="10">
      <c r="A10" s="11" t="inlineStr">
        <is>
          <t xml:space="preserve">Mamaearth Market Share Val — change (pp, L12M)</t>
        </is>
      </c>
      <c r="B10" s="10">
        <f>=('Raw Data - Facewash'!I12-'Raw Data - Facewash'!H12)/100</f>
      </c>
      <c r="C10" s="9">
        <f>=('Raw Data - Facewash'!I26-'Raw Data - Facewash'!H26)/100</f>
      </c>
      <c r="D10" s="0" t="inlineStr">
        <is>
          <t xml:space="preserve"/>
        </is>
      </c>
    </row>
    <row r="11">
      <c r="A11" s="11" t="inlineStr">
        <is>
          <t xml:space="preserve">Mamaearth Weighted Distribution — latest (%)</t>
        </is>
      </c>
      <c r="B11" s="10">
        <f>='Raw Data - Facewash'!I15/100</f>
      </c>
      <c r="C11" s="9">
        <f>='Raw Data - Facewash'!I29/100</f>
      </c>
      <c r="D11" s="0" t="inlineStr">
        <is>
          <t xml:space="preserve"/>
        </is>
      </c>
    </row>
    <row r="12">
      <c r="A12" s="11" t="inlineStr">
        <is>
          <t xml:space="preserve">Mamaearth Weighted Distribution — change (pp, L12M)</t>
        </is>
      </c>
      <c r="B12" s="10">
        <f>=('Raw Data - Facewash'!I15-'Raw Data - Facewash'!H15)/100</f>
      </c>
      <c r="C12" s="9">
        <f>=('Raw Data - Facewash'!I29-'Raw Data - Facewash'!H29)/100</f>
      </c>
      <c r="D12" s="0" t="inlineStr">
        <is>
          <t xml:space="preserve"/>
        </is>
      </c>
    </row>
    <row r="13">
      <c r="A13" s="11" t="inlineStr">
        <is>
          <t xml:space="preserve">Mamaearth # Stores Retailing — growth (L12M)</t>
        </is>
      </c>
      <c r="B13" s="10">
        <f>=('Raw Data - Facewash'!I14-'Raw Data - Facewash'!H14)/'Raw Data - Facewash'!H14</f>
      </c>
      <c r="C13" s="9">
        <f>=('Raw Data - Facewash'!I28-'Raw Data - Facewash'!H28)/'Raw Data - Facewash'!H28</f>
      </c>
      <c r="D13" s="0" t="inlineStr">
        <is>
          <t xml:space="preserve"/>
        </is>
      </c>
    </row>
    <row r="14">
      <c r="A14" s="11" t="inlineStr">
        <is>
          <t xml:space="preserve">Mamaearth PDO (₹/dealer) — growth (L12M)</t>
        </is>
      </c>
      <c r="B14" s="10">
        <f>=('Raw Data - Facewash'!I16-'Raw Data - Facewash'!H16)/'Raw Data - Facewash'!H16</f>
      </c>
      <c r="C14" s="9">
        <f>=('Raw Data - Facewash'!I30-'Raw Data - Facewash'!H30)/'Raw Data - Facewash'!H30</f>
      </c>
      <c r="D14" s="0" t="inlineStr">
        <is>
          <t xml:space="preserve"/>
        </is>
      </c>
    </row>
    <row r="16">
      <c r="A16" s="12" t="inlineStr">
        <is>
          <t xml:space="preserve">SHAMPOO</t>
        </is>
      </c>
    </row>
    <row r="17">
      <c r="A17" s="2" t="inlineStr">
        <is>
          <t xml:space="preserve">Metric</t>
        </is>
      </c>
      <c r="B17" s="2" t="inlineStr">
        <is>
          <t xml:space="preserve">MT</t>
        </is>
      </c>
      <c r="C17" s="2" t="inlineStr">
        <is>
          <t xml:space="preserve">GT</t>
        </is>
      </c>
      <c r="D17" s="2" t="inlineStr">
        <is>
          <t xml:space="preserve">Note</t>
        </is>
      </c>
    </row>
    <row r="18">
      <c r="A18" s="11" t="inlineStr">
        <is>
          <t xml:space="preserve">Category value growth (L12M)</t>
        </is>
      </c>
      <c r="B18" s="10">
        <f>=('Raw Data - Shampoo'!I4-'Raw Data - Shampoo'!H4)/'Raw Data - Shampoo'!H4</f>
      </c>
      <c r="C18" s="9">
        <f>=('Raw Data - Shampoo'!I18-'Raw Data - Shampoo'!H18)/'Raw Data - Shampoo'!H18</f>
      </c>
      <c r="D18" s="0" t="inlineStr">
        <is>
          <t xml:space="preserve"/>
        </is>
      </c>
    </row>
    <row r="19">
      <c r="A19" s="11" t="inlineStr">
        <is>
          <t xml:space="preserve">Mamaearth value growth (L12M)</t>
        </is>
      </c>
      <c r="B19" s="10">
        <f>=('Raw Data - Shampoo'!I11-'Raw Data - Shampoo'!H11)/'Raw Data - Shampoo'!H11</f>
      </c>
      <c r="C19" s="9">
        <f>=('Raw Data - Shampoo'!I25-'Raw Data - Shampoo'!H25)/'Raw Data - Shampoo'!H25</f>
      </c>
      <c r="D19" s="0" t="inlineStr">
        <is>
          <t xml:space="preserve"/>
        </is>
      </c>
    </row>
    <row r="20">
      <c r="A20" s="11" t="inlineStr">
        <is>
          <t xml:space="preserve">Mamaearth value growth (L3M)</t>
        </is>
      </c>
      <c r="B20" s="10">
        <f>=('Raw Data - Shampoo'!G11-'Raw Data - Shampoo'!F11)/'Raw Data - Shampoo'!F11</f>
      </c>
      <c r="C20" s="9">
        <f>=('Raw Data - Shampoo'!G25-'Raw Data - Shampoo'!F25)/'Raw Data - Shampoo'!F25</f>
      </c>
      <c r="D20" s="0" t="inlineStr">
        <is>
          <t xml:space="preserve"/>
        </is>
      </c>
    </row>
    <row r="21">
      <c r="A21" s="11" t="inlineStr">
        <is>
          <t xml:space="preserve">Mamaearth value growth (Jun vs Jun LY)</t>
        </is>
      </c>
      <c r="B21" s="10">
        <f>=('Raw Data - Shampoo'!E11-'Raw Data - Shampoo'!D11)/'Raw Data - Shampoo'!D11</f>
      </c>
      <c r="C21" s="9">
        <f>=('Raw Data - Shampoo'!E25-'Raw Data - Shampoo'!D25)/'Raw Data - Shampoo'!D25</f>
      </c>
      <c r="D21" s="0" t="inlineStr">
        <is>
          <t xml:space="preserve"/>
        </is>
      </c>
    </row>
    <row r="22">
      <c r="A22" s="11" t="inlineStr">
        <is>
          <t xml:space="preserve">Mamaearth Market Share Val — latest (%)</t>
        </is>
      </c>
      <c r="B22" s="10">
        <f>='Raw Data - Shampoo'!I12/100</f>
      </c>
      <c r="C22" s="9">
        <f>='Raw Data - Shampoo'!I26/100</f>
      </c>
      <c r="D22" s="0" t="inlineStr">
        <is>
          <t xml:space="preserve"/>
        </is>
      </c>
    </row>
    <row r="23">
      <c r="A23" s="11" t="inlineStr">
        <is>
          <t xml:space="preserve">Mamaearth Market Share Val — change (pp, L12M)</t>
        </is>
      </c>
      <c r="B23" s="10">
        <f>=('Raw Data - Shampoo'!I12-'Raw Data - Shampoo'!H12)/100</f>
      </c>
      <c r="C23" s="9">
        <f>=('Raw Data - Shampoo'!I26-'Raw Data - Shampoo'!H26)/100</f>
      </c>
      <c r="D23" s="0" t="inlineStr">
        <is>
          <t xml:space="preserve"/>
        </is>
      </c>
    </row>
    <row r="24">
      <c r="A24" s="11" t="inlineStr">
        <is>
          <t xml:space="preserve">Mamaearth Weighted Distribution — latest (%)</t>
        </is>
      </c>
      <c r="B24" s="10">
        <f>='Raw Data - Shampoo'!I15/100</f>
      </c>
      <c r="C24" s="9">
        <f>='Raw Data - Shampoo'!I29/100</f>
      </c>
      <c r="D24" s="0" t="inlineStr">
        <is>
          <t xml:space="preserve"/>
        </is>
      </c>
    </row>
    <row r="25">
      <c r="A25" s="11" t="inlineStr">
        <is>
          <t xml:space="preserve">Mamaearth Weighted Distribution — change (pp, L12M)</t>
        </is>
      </c>
      <c r="B25" s="10">
        <f>=('Raw Data - Shampoo'!I15-'Raw Data - Shampoo'!H15)/100</f>
      </c>
      <c r="C25" s="9">
        <f>=('Raw Data - Shampoo'!I29-'Raw Data - Shampoo'!H29)/100</f>
      </c>
      <c r="D25" s="0" t="inlineStr">
        <is>
          <t xml:space="preserve"/>
        </is>
      </c>
    </row>
    <row r="26">
      <c r="A26" s="11" t="inlineStr">
        <is>
          <t xml:space="preserve">Mamaearth # Stores Retailing — growth (L12M)</t>
        </is>
      </c>
      <c r="B26" s="10">
        <f>=('Raw Data - Shampoo'!I14-'Raw Data - Shampoo'!H14)/'Raw Data - Shampoo'!H14</f>
      </c>
      <c r="C26" s="9">
        <f>=('Raw Data - Shampoo'!I28-'Raw Data - Shampoo'!H28)/'Raw Data - Shampoo'!H28</f>
      </c>
      <c r="D26" s="0" t="inlineStr">
        <is>
          <t xml:space="preserve"/>
        </is>
      </c>
    </row>
    <row r="27">
      <c r="A27" s="11" t="inlineStr">
        <is>
          <t xml:space="preserve">Mamaearth PDO (₹/dealer) — growth (L12M)</t>
        </is>
      </c>
      <c r="B27" s="10">
        <f>=('Raw Data - Shampoo'!I16-'Raw Data - Shampoo'!H16)/'Raw Data - Shampoo'!H16</f>
      </c>
      <c r="C27" s="9">
        <f>=('Raw Data - Shampoo'!I30-'Raw Data - Shampoo'!H30)/'Raw Data - Shampoo'!H30</f>
      </c>
      <c r="D27" s="0" t="inlineStr">
        <is>
          <t xml:space="preserve"/>
        </is>
      </c>
    </row>
    <row r="29">
      <c r="A29" s="7" t="inlineStr">
        <is>
          <t xml:space="preserve">All growth %/pp figures are formulas linking to the Raw Data tabs — they recalculate if source values are edited. pp = percentage points.</t>
        </is>
      </c>
    </row>
  </sheetData>
  <mergeCells count="4">
    <mergeCell ref="A1:D1"/>
    <mergeCell ref="A3:D3"/>
    <mergeCell ref="A16:D16"/>
    <mergeCell ref="A29:D29"/>
  </mergeCells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6" customWidth="1"/>
    <col min="2" max="2" width="32" customWidth="1"/>
    <col min="3" max="3" width="18" customWidth="1"/>
    <col min="4" max="4" width="14" customWidth="1"/>
    <col min="5" max="5" width="12" customWidth="1"/>
    <col min="6" max="6" width="40" customWidth="1"/>
    <col min="7" max="7" width="12" customWidth="1"/>
  </cols>
  <sheetData>
    <row r="1">
      <c r="A1" s="1" t="inlineStr">
        <is>
          <t xml:space="preserve">MT vs GT — ACTION TRACKER</t>
        </is>
      </c>
    </row>
    <row r="3">
      <c r="A3" s="2" t="inlineStr">
        <is>
          <t xml:space="preserve">Objective</t>
        </is>
      </c>
      <c r="B3" s="2" t="inlineStr">
        <is>
          <t xml:space="preserve">Key Result / KPI</t>
        </is>
      </c>
      <c r="C3" s="2" t="inlineStr">
        <is>
          <t xml:space="preserve">Owner</t>
        </is>
      </c>
      <c r="D3" s="2" t="inlineStr">
        <is>
          <t xml:space="preserve">Timeline</t>
        </is>
      </c>
      <c r="E3" s="2" t="inlineStr">
        <is>
          <t xml:space="preserve">Status</t>
        </is>
      </c>
      <c r="F3" s="2" t="inlineStr">
        <is>
          <t xml:space="preserve">Next Action</t>
        </is>
      </c>
      <c r="G3" s="2" t="inlineStr">
        <is>
          <t xml:space="preserve">Review Rhythm</t>
        </is>
      </c>
    </row>
    <row r="4">
      <c r="A4" s="4" t="inlineStr">
        <is>
          <t xml:space="preserve">Fix GT Shampoo distribution loss</t>
        </is>
      </c>
      <c r="B4" s="0" t="inlineStr">
        <is>
          <t xml:space="preserve">Restore stores retailing to ≥73,000 (from 66,750)</t>
        </is>
      </c>
      <c r="C4" s="0" t="inlineStr">
        <is>
          <t xml:space="preserve">GT Sales / DMS Team</t>
        </is>
      </c>
      <c r="D4" s="0" t="inlineStr">
        <is>
          <t xml:space="preserve">Aug'26</t>
        </is>
      </c>
      <c r="E4" s="0" t="inlineStr">
        <is>
          <t xml:space="preserve">Not Started</t>
        </is>
      </c>
      <c r="F4" s="0" t="inlineStr">
        <is>
          <t xml:space="preserve">Pull stockist-level DMS billing to isolate de-listing vs non-servicing vs secondary sales gap</t>
        </is>
      </c>
      <c r="G4" s="0" t="inlineStr">
        <is>
          <t xml:space="preserve">Weekly</t>
        </is>
      </c>
    </row>
    <row r="5">
      <c r="A5" s="4" t="inlineStr">
        <is>
          <t xml:space="preserve">Correct GT Shampoo pack mix</t>
        </is>
      </c>
      <c r="B5" s="0" t="inlineStr">
        <is>
          <t xml:space="preserve">List 340ml/650ml SKUs in top 20 GT chains</t>
        </is>
      </c>
      <c r="C5" s="0" t="inlineStr">
        <is>
          <t xml:space="preserve">RKAM / GT Category</t>
        </is>
      </c>
      <c r="D5" s="0" t="inlineStr">
        <is>
          <t xml:space="preserve">Sep'26</t>
        </is>
      </c>
      <c r="E5" s="0" t="inlineStr">
        <is>
          <t xml:space="preserve">Not Started</t>
        </is>
      </c>
      <c r="F5" s="0" t="inlineStr">
        <is>
          <t xml:space="preserve">Audit current GT listing vs MT pack assortment</t>
        </is>
      </c>
      <c r="G5" s="0" t="inlineStr">
        <is>
          <t xml:space="preserve">Bi-weekly</t>
        </is>
      </c>
    </row>
    <row r="6">
      <c r="A6" s="4" t="inlineStr">
        <is>
          <t xml:space="preserve">Scale MT merchandising learnings to GT</t>
        </is>
      </c>
      <c r="B6" s="0" t="inlineStr">
        <is>
          <t xml:space="preserve">Pilot MT visibility/PDO playbook in 20 GT towns</t>
        </is>
      </c>
      <c r="C6" s="0" t="inlineStr">
        <is>
          <t xml:space="preserve">Trade Marketing</t>
        </is>
      </c>
      <c r="D6" s="0" t="inlineStr">
        <is>
          <t xml:space="preserve">Sep'26</t>
        </is>
      </c>
      <c r="E6" s="0" t="inlineStr">
        <is>
          <t xml:space="preserve">Not Started</t>
        </is>
      </c>
      <c r="F6" s="0" t="inlineStr">
        <is>
          <t xml:space="preserve">Document MT merchandising SOP driving PDO growth</t>
        </is>
      </c>
      <c r="G6" s="0" t="inlineStr">
        <is>
          <t xml:space="preserve">Monthly</t>
        </is>
      </c>
    </row>
    <row r="7">
      <c r="A7" s="4" t="inlineStr">
        <is>
          <t xml:space="preserve">Sustain MT facewash/shampoo momentum</t>
        </is>
      </c>
      <c r="B7" s="0" t="inlineStr">
        <is>
          <t xml:space="preserve">Keep fill-rate ≥95% as store count scales +30%</t>
        </is>
      </c>
      <c r="C7" s="0" t="inlineStr">
        <is>
          <t xml:space="preserve">NKAM / MT Team</t>
        </is>
      </c>
      <c r="D7" s="0" t="inlineStr">
        <is>
          <t xml:space="preserve">Ongoing</t>
        </is>
      </c>
      <c r="E7" s="0" t="inlineStr">
        <is>
          <t xml:space="preserve">On Track</t>
        </is>
      </c>
      <c r="F7" s="0" t="inlineStr">
        <is>
          <t xml:space="preserve">Ensure NPD listing keeps pace with new store additions</t>
        </is>
      </c>
      <c r="G7" s="0" t="inlineStr">
        <is>
          <t xml:space="preserve">Monthly</t>
        </is>
      </c>
    </row>
    <row r="8">
      <c r="A8" s="4" t="inlineStr">
        <is>
          <t xml:space="preserve">Re-baseline FY27 GT Shampoo plan</t>
        </is>
      </c>
      <c r="B8" s="0" t="inlineStr">
        <is>
          <t xml:space="preserve">Revised target reflecting -22.8% LTM decline</t>
        </is>
      </c>
      <c r="C8" s="0" t="inlineStr">
        <is>
          <t xml:space="preserve">Category Lead</t>
        </is>
      </c>
      <c r="D8" s="0" t="inlineStr">
        <is>
          <t xml:space="preserve">Before FY27 QBR</t>
        </is>
      </c>
      <c r="E8" s="0" t="inlineStr">
        <is>
          <t xml:space="preserve">Not Started</t>
        </is>
      </c>
      <c r="F8" s="0" t="inlineStr">
        <is>
          <t xml:space="preserve">Flag to leadership ahead of QBR to avoid missed-plan surprise</t>
        </is>
      </c>
      <c r="G8" s="0" t="inlineStr">
        <is>
          <t xml:space="preserve">Quarterly</t>
        </is>
      </c>
    </row>
    <row r="9">
      <c r="A9" s="4" t="inlineStr">
        <is>
          <t xml:space="preserve">Close UP/Maharashtra distribution white space</t>
        </is>
      </c>
      <c r="B9" s="0" t="inlineStr">
        <is>
          <t xml:space="preserve">Raise Nielsen share in UP &amp; Maharashtra toward category-contribution level</t>
        </is>
      </c>
      <c r="C9" s="0" t="inlineStr">
        <is>
          <t xml:space="preserve">RKAM / Zone Sales</t>
        </is>
      </c>
      <c r="D9" s="0" t="inlineStr">
        <is>
          <t xml:space="preserve">Q3 FY27</t>
        </is>
      </c>
      <c r="E9" s="0" t="inlineStr">
        <is>
          <t xml:space="preserve">Not Started</t>
        </is>
      </c>
      <c r="F9" s="0" t="inlineStr">
        <is>
          <t xml:space="preserve">Prioritize new-store/visibility spend in UP &amp; Maharashtra; both states are high category-contribution, low Nielsen-share in Facewash and Shampoo</t>
        </is>
      </c>
      <c r="G9" s="0" t="inlineStr">
        <is>
          <t xml:space="preserve">Quarterly</t>
        </is>
      </c>
    </row>
  </sheetData>
  <mergeCells count="1">
    <mergeCell ref="A1:G1"/>
  </mergeCells>
</worksheet>
</file>