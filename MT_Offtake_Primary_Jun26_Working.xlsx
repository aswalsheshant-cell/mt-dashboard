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_ME" sheetId="1" r:id="rId1"/>
    <sheet name="KPI_Dashboard" sheetId="2" r:id="rId2"/>
    <sheet name="Q1_FY27_Scorecard" sheetId="3" r:id="rId3"/>
    <sheet name="Zone_Summary" sheetId="4" r:id="rId4"/>
    <sheet name="Chain_Summary" sheetId="5" r:id="rId5"/>
    <sheet name="Brand_SubCat_Summary" sheetId="6" r:id="rId6"/>
    <sheet name="Primary_Summary" sheetId="7" r:id="rId7"/>
    <sheet name="May26_External_Workings" sheetId="8" r:id="rId8"/>
    <sheet name="Slide_Map" sheetId="9" r:id="rId9"/>
    <sheet name="Offtake_Chain_Zone" sheetId="10" r:id="rId10"/>
    <sheet name="Offtake_Brand_SubCat_Zone" sheetId="11" r:id="rId11"/>
    <sheet name="Primary_Zone_Chain" sheetId="12" r:id="rId12"/>
    <sheet name="Primary_Brand_Monthly" sheetId="13" r:id="rId13"/>
  </sheets>
  <calcPr calcId="199999" fullCalcOnLoad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+0.0%;-0.0%"/>
    <numFmt numFmtId="61" formatCode="0.0%"/>
    <numFmt numFmtId="62" formatCode="#,##0.0"/>
    <numFmt numFmtId="63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3" fontId="0" fillId="0" borderId="0" xfId="0" applyNumberFormat="1"/>
    <xf numFmtId="60" fontId="0" fillId="0" borderId="0" xfId="0" applyNumberFormat="1"/>
    <xf numFmtId="2" fontId="0" fillId="0" borderId="0" xfId="0" applyNumberFormat="1"/>
    <xf numFmtId="61" fontId="0" fillId="0" borderId="0" xfId="0" applyNumberFormat="1"/>
    <xf numFmtId="62" fontId="0" fillId="0" borderId="0" xfId="0" applyNumberFormat="1"/>
    <xf numFmtId="9" fontId="0" fillId="0" borderId="0" xfId="0" applyNumberFormat="1"/>
    <xf numFmtId="6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cols>
    <col min="1" max="1" width="160.83203125" customWidth="1"/>
  </cols>
  <sheetData>
    <row r="1">
      <c r="A1" t="str">
        <v>HONASA — MT OFFTAKE &amp; PRIMARY WORKING FILE — JUN'26 CLOSE + Q1 FY27</v>
      </c>
    </row>
    <row r="2">
      <c r="A2" t="str">
        <v/>
      </c>
    </row>
    <row r="3">
      <c r="A3" t="str">
        <v>HOW THIS FILE WORKS</v>
      </c>
    </row>
    <row r="4">
      <c r="A4" t="str">
        <v>• Raw data sheets (Offtake_Chain_Zone, Offtake_Brand_SubCat_Zone, Primary_Zone_Chain, Primary_Brand_Monthly) hold the shared tables, Apr'25 → Jun'26.</v>
      </c>
    </row>
    <row r="5">
      <c r="A5" t="str">
        <v>• Every summary sheet (KPI_Dashboard, Zone_Summary, Chain_Summary, Brand_SubCat_Summary, Q1_FY27_Scorecard, Primary_Summary) is 100% formula-driven (SUMIF/SUMIFS).</v>
      </c>
    </row>
    <row r="6">
      <c r="A6" t="str">
        <v>• To refresh next month: append/overwrite the month columns in the raw sheets — all KPIs, shares and growth metrics recalculate instantly.</v>
      </c>
    </row>
    <row r="7">
      <c r="A7" t="str">
        <v>• Month convention: Indian FY (Apr–Mar). Q1 FY27 = Apr'26 + May'26 + Jun'26. L3M Avg = Mar–May'26 (trailing 3 months before report month).</v>
      </c>
    </row>
    <row r="8">
      <c r="A8" t="str">
        <v/>
      </c>
    </row>
    <row r="9">
      <c r="A9" t="str">
        <v>UNITS</v>
      </c>
    </row>
    <row r="10">
      <c r="A10" t="str">
        <v>• Offtake sheets &amp; Primary_Zone_Chain: ₹ Lacs (NSV). Primary_Brand_Monthly: ₹ absolute (divide by 1,00,000 for Lacs — Primary_Summary does this via formula).</v>
      </c>
    </row>
    <row r="11">
      <c r="A11" t="str">
        <v/>
      </c>
    </row>
    <row r="12">
      <c r="A12" t="str">
        <v>DATA NOTES (senior-analyst honesty box)</v>
      </c>
    </row>
    <row r="13">
      <c r="A13" t="str">
        <v>1. Offtake rows in the shared table are rounded to whole ₹ Lacs; the unrounded Grand Total closes Jun'26 at 3,652 Lacs. Row-sums here land within ±5 Lacs (&lt;0.2%). Headline deck KPIs use the official Grand Total.</v>
      </c>
    </row>
    <row r="14">
      <c r="A14" t="str">
        <v>2. Offtake_Brand_SubCat_Zone: rows that are zero/blank across all 15 months were dropped (they carry no value). Impact ≤ ~20 Lacs/month vs Grand Total (&lt;0.7%).</v>
      </c>
    </row>
    <row r="15">
      <c r="A15" t="str">
        <v>3. Primary brand sheet carries brand-level totals + key sub-category totals. The full brand×sub-cat×zone primary matrix stays in the source paste; add rows here anytime — formulas pick them up.</v>
      </c>
    </row>
    <row r="16">
      <c r="A16" t="str">
        <v>4. Pure Origin discontinued from FY26; Lumineve is a new SIS brand from Apr'26; Dr. Sheth's entered MT/EB2B in Oct'25 — YoY for these reads off a nil base.</v>
      </c>
    </row>
    <row r="17">
      <c r="A17" t="str">
        <v>5. Slides 4–9 (chain GS market share, Nielsen) rely on external data available only till May'26 — see May26_External_Workings and Slide_Map.</v>
      </c>
    </row>
    <row r="18">
      <c r="A18" t="str">
        <v>6. Negative offtake/primary values are returns/claims reversals — kept as shared.</v>
      </c>
    </row>
    <row r="19">
      <c r="A19" t="str">
        <v/>
      </c>
    </row>
    <row r="20">
      <c r="A20" t="str">
        <v>FILE PAIRING</v>
      </c>
    </row>
    <row r="21">
      <c r="A21" t="str">
        <v>• Deck: Final MT Offtake Jun26 Leadership deck (same repo). Chart caches in the deck were refreshed from this workbook's raw sheets.</v>
      </c>
    </row>
  </sheetData>
  <ignoredErrors>
    <ignoredError numberStoredAsText="1" sqref="A1:A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cols>
    <col min="1" max="1" width="48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10.83203125" customWidth="1"/>
  </cols>
  <sheetData>
    <row r="1">
      <c r="A1" t="str">
        <v>MT OFFTAKE — KPI DASHBOARD (Jun'26 close, Q1 FY27)</v>
      </c>
    </row>
    <row r="2">
      <c r="A2" t="str">
        <v>All values ₹ Lacs (NSV). Every figure below is a live formula over the raw sheets — edit raw data and this refreshes.</v>
      </c>
    </row>
    <row r="4">
      <c r="A4" t="str">
        <v>Month</v>
      </c>
      <c r="B4" t="str">
        <v>Apr-25</v>
      </c>
      <c r="C4" t="str">
        <v>May-25</v>
      </c>
      <c r="D4" t="str">
        <v>Jun-25</v>
      </c>
      <c r="E4" t="str">
        <v>Jul-25</v>
      </c>
      <c r="F4" t="str">
        <v>Aug-25</v>
      </c>
      <c r="G4" t="str">
        <v>Sep-25</v>
      </c>
      <c r="H4" t="str">
        <v>Oct-25</v>
      </c>
      <c r="I4" t="str">
        <v>Nov-25</v>
      </c>
      <c r="J4" t="str">
        <v>Dec-25</v>
      </c>
      <c r="K4" t="str">
        <v>Jan-26</v>
      </c>
      <c r="L4" t="str">
        <v>Feb-26</v>
      </c>
      <c r="M4" t="str">
        <v>Mar-26</v>
      </c>
      <c r="N4" t="str">
        <v>Apr-26</v>
      </c>
      <c r="O4" t="str">
        <v>May-26</v>
      </c>
      <c r="P4" t="str">
        <v>Jun-26</v>
      </c>
    </row>
    <row r="5">
      <c r="A5" t="str">
        <v>Total NSV (MT+EB2B)</v>
      </c>
      <c r="B5" s="1">
        <f>SUM(Offtake_Chain_Zone!D2:D200)</f>
      </c>
      <c r="C5" s="1">
        <f>SUM(Offtake_Chain_Zone!E2:E200)</f>
      </c>
      <c r="D5" s="1">
        <f>SUM(Offtake_Chain_Zone!F2:F200)</f>
      </c>
      <c r="E5" s="1">
        <f>SUM(Offtake_Chain_Zone!G2:G200)</f>
      </c>
      <c r="F5" s="1">
        <f>SUM(Offtake_Chain_Zone!H2:H200)</f>
      </c>
      <c r="G5" s="1">
        <f>SUM(Offtake_Chain_Zone!I2:I200)</f>
      </c>
      <c r="H5" s="1">
        <f>SUM(Offtake_Chain_Zone!J2:J200)</f>
      </c>
      <c r="I5" s="1">
        <f>SUM(Offtake_Chain_Zone!K2:K200)</f>
      </c>
      <c r="J5" s="1">
        <f>SUM(Offtake_Chain_Zone!L2:L200)</f>
      </c>
      <c r="K5" s="1">
        <f>SUM(Offtake_Chain_Zone!M2:M200)</f>
      </c>
      <c r="L5" s="1">
        <f>SUM(Offtake_Chain_Zone!N2:N200)</f>
      </c>
      <c r="M5" s="1">
        <f>SUM(Offtake_Chain_Zone!O2:O200)</f>
      </c>
      <c r="N5" s="1">
        <f>SUM(Offtake_Chain_Zone!P2:P200)</f>
      </c>
      <c r="O5" s="1">
        <f>SUM(Offtake_Chain_Zone!Q2:Q200)</f>
      </c>
      <c r="P5" s="1">
        <f>SUM(Offtake_Chain_Zone!R2:R200)</f>
      </c>
    </row>
    <row r="6">
      <c r="A6" t="str">
        <v>MT channel</v>
      </c>
      <c r="B6" s="1">
        <f>SUMIF(Offtake_Chain_Zone!$A:$A,"MT",Offtake_Chain_Zone!D:D)</f>
      </c>
      <c r="C6" s="1">
        <f>SUMIF(Offtake_Chain_Zone!$A:$A,"MT",Offtake_Chain_Zone!E:E)</f>
      </c>
      <c r="D6" s="1">
        <f>SUMIF(Offtake_Chain_Zone!$A:$A,"MT",Offtake_Chain_Zone!F:F)</f>
      </c>
      <c r="E6" s="1">
        <f>SUMIF(Offtake_Chain_Zone!$A:$A,"MT",Offtake_Chain_Zone!G:G)</f>
      </c>
      <c r="F6" s="1">
        <f>SUMIF(Offtake_Chain_Zone!$A:$A,"MT",Offtake_Chain_Zone!H:H)</f>
      </c>
      <c r="G6" s="1">
        <f>SUMIF(Offtake_Chain_Zone!$A:$A,"MT",Offtake_Chain_Zone!I:I)</f>
      </c>
      <c r="H6" s="1">
        <f>SUMIF(Offtake_Chain_Zone!$A:$A,"MT",Offtake_Chain_Zone!J:J)</f>
      </c>
      <c r="I6" s="1">
        <f>SUMIF(Offtake_Chain_Zone!$A:$A,"MT",Offtake_Chain_Zone!K:K)</f>
      </c>
      <c r="J6" s="1">
        <f>SUMIF(Offtake_Chain_Zone!$A:$A,"MT",Offtake_Chain_Zone!L:L)</f>
      </c>
      <c r="K6" s="1">
        <f>SUMIF(Offtake_Chain_Zone!$A:$A,"MT",Offtake_Chain_Zone!M:M)</f>
      </c>
      <c r="L6" s="1">
        <f>SUMIF(Offtake_Chain_Zone!$A:$A,"MT",Offtake_Chain_Zone!N:N)</f>
      </c>
      <c r="M6" s="1">
        <f>SUMIF(Offtake_Chain_Zone!$A:$A,"MT",Offtake_Chain_Zone!O:O)</f>
      </c>
      <c r="N6" s="1">
        <f>SUMIF(Offtake_Chain_Zone!$A:$A,"MT",Offtake_Chain_Zone!P:P)</f>
      </c>
      <c r="O6" s="1">
        <f>SUMIF(Offtake_Chain_Zone!$A:$A,"MT",Offtake_Chain_Zone!Q:Q)</f>
      </c>
      <c r="P6" s="1">
        <f>SUMIF(Offtake_Chain_Zone!$A:$A,"MT",Offtake_Chain_Zone!R:R)</f>
      </c>
    </row>
    <row r="7">
      <c r="A7" t="str">
        <v>EB2B (FSN)</v>
      </c>
      <c r="B7" s="1">
        <f>SUMIF(Offtake_Chain_Zone!$A:$A,"EB2B",Offtake_Chain_Zone!D:D)</f>
      </c>
      <c r="C7" s="1">
        <f>SUMIF(Offtake_Chain_Zone!$A:$A,"EB2B",Offtake_Chain_Zone!E:E)</f>
      </c>
      <c r="D7" s="1">
        <f>SUMIF(Offtake_Chain_Zone!$A:$A,"EB2B",Offtake_Chain_Zone!F:F)</f>
      </c>
      <c r="E7" s="1">
        <f>SUMIF(Offtake_Chain_Zone!$A:$A,"EB2B",Offtake_Chain_Zone!G:G)</f>
      </c>
      <c r="F7" s="1">
        <f>SUMIF(Offtake_Chain_Zone!$A:$A,"EB2B",Offtake_Chain_Zone!H:H)</f>
      </c>
      <c r="G7" s="1">
        <f>SUMIF(Offtake_Chain_Zone!$A:$A,"EB2B",Offtake_Chain_Zone!I:I)</f>
      </c>
      <c r="H7" s="1">
        <f>SUMIF(Offtake_Chain_Zone!$A:$A,"EB2B",Offtake_Chain_Zone!J:J)</f>
      </c>
      <c r="I7" s="1">
        <f>SUMIF(Offtake_Chain_Zone!$A:$A,"EB2B",Offtake_Chain_Zone!K:K)</f>
      </c>
      <c r="J7" s="1">
        <f>SUMIF(Offtake_Chain_Zone!$A:$A,"EB2B",Offtake_Chain_Zone!L:L)</f>
      </c>
      <c r="K7" s="1">
        <f>SUMIF(Offtake_Chain_Zone!$A:$A,"EB2B",Offtake_Chain_Zone!M:M)</f>
      </c>
      <c r="L7" s="1">
        <f>SUMIF(Offtake_Chain_Zone!$A:$A,"EB2B",Offtake_Chain_Zone!N:N)</f>
      </c>
      <c r="M7" s="1">
        <f>SUMIF(Offtake_Chain_Zone!$A:$A,"EB2B",Offtake_Chain_Zone!O:O)</f>
      </c>
      <c r="N7" s="1">
        <f>SUMIF(Offtake_Chain_Zone!$A:$A,"EB2B",Offtake_Chain_Zone!P:P)</f>
      </c>
      <c r="O7" s="1">
        <f>SUMIF(Offtake_Chain_Zone!$A:$A,"EB2B",Offtake_Chain_Zone!Q:Q)</f>
      </c>
      <c r="P7" s="1">
        <f>SUMIF(Offtake_Chain_Zone!$A:$A,"EB2B",Offtake_Chain_Zone!R:R)</f>
      </c>
    </row>
    <row r="8">
      <c r="A8" t="str">
        <v>MoM %</v>
      </c>
      <c r="C8" s="2">
        <f>C5/B5-1</f>
      </c>
      <c r="D8" s="2">
        <f>D5/C5-1</f>
      </c>
      <c r="E8" s="2">
        <f>E5/D5-1</f>
      </c>
      <c r="F8" s="2">
        <f>F5/E5-1</f>
      </c>
      <c r="G8" s="2">
        <f>G5/F5-1</f>
      </c>
      <c r="H8" s="2">
        <f>H5/G5-1</f>
      </c>
      <c r="I8" s="2">
        <f>I5/H5-1</f>
      </c>
      <c r="J8" s="2">
        <f>J5/I5-1</f>
      </c>
      <c r="K8" s="2">
        <f>K5/J5-1</f>
      </c>
      <c r="L8" s="2">
        <f>L5/K5-1</f>
      </c>
      <c r="M8" s="2">
        <f>M5/L5-1</f>
      </c>
      <c r="N8" s="2">
        <f>N5/M5-1</f>
      </c>
      <c r="O8" s="2">
        <f>O5/N5-1</f>
      </c>
      <c r="P8" s="2">
        <f>P5/O5-1</f>
      </c>
    </row>
    <row r="9">
      <c r="A9" t="str">
        <v>YoY %</v>
      </c>
      <c r="N9" s="2">
        <f>N5/B5-1</f>
      </c>
      <c r="O9" s="2">
        <f>O5/C5-1</f>
      </c>
      <c r="P9" s="2">
        <f>P5/D5-1</f>
      </c>
    </row>
    <row r="11">
      <c r="A11" t="str">
        <v>HEADLINE SCORECARD</v>
      </c>
    </row>
    <row r="12">
      <c r="A12" t="str">
        <v>Jun'26 NSV (₹ Cr)</v>
      </c>
      <c r="C12" s="3">
        <f>P5/100</f>
      </c>
    </row>
    <row r="13">
      <c r="A13" t="str">
        <v>May'26 NSV (₹ Cr)</v>
      </c>
      <c r="C13" s="3">
        <f>O5/100</f>
      </c>
    </row>
    <row r="14">
      <c r="A14" t="str">
        <v>MoM growth</v>
      </c>
      <c r="C14" s="2">
        <f>P5/O5-1</f>
      </c>
    </row>
    <row r="15">
      <c r="A15" t="str">
        <v>L3M Avg (Mar–May'26, ₹ Cr)</v>
      </c>
      <c r="C15" s="3">
        <f>AVERAGE(M5:O5)/100</f>
      </c>
    </row>
    <row r="16">
      <c r="A16" t="str">
        <v>Growth over L3M Avg</v>
      </c>
      <c r="C16" s="2">
        <f>P5/AVERAGE(M5:O5)-1</f>
      </c>
    </row>
    <row r="17">
      <c r="A17" t="str">
        <v>YoY growth (vs Jun'25)</v>
      </c>
      <c r="C17" s="2">
        <f>P5/D5-1</f>
      </c>
    </row>
    <row r="18">
      <c r="A18" t="str">
        <v>YoY delta (₹ Lacs)</v>
      </c>
      <c r="C18" s="1">
        <f>P5-D5</f>
      </c>
    </row>
    <row r="19">
      <c r="A19" t="str">
        <v>Q1 FY27 NSV (Apr–Jun26, ₹ Cr)</v>
      </c>
      <c r="C19" s="3">
        <f>SUM(N5:P5)/100</f>
      </c>
    </row>
    <row r="20">
      <c r="A20" t="str">
        <v>Q1 FY26 NSV (Apr–Jun25, ₹ Cr)</v>
      </c>
      <c r="C20" s="3">
        <f>SUM(B5:D5)/100</f>
      </c>
    </row>
    <row r="21">
      <c r="A21" t="str">
        <v>Q1 growth YoY</v>
      </c>
      <c r="C21" s="2">
        <f>SUM(N5:P5)/SUM(B5:D5)-1</f>
      </c>
    </row>
    <row r="22">
      <c r="A22" t="str">
        <v>Top-3 chain concentration Jun'26 (Dmart+Reliance+Apollo)</v>
      </c>
      <c r="C22" s="4">
        <f>(SUMIF(Offtake_Chain_Zone!$B:$B,"Dmart",Offtake_Chain_Zone!R:R)+SUMIF(Offtake_Chain_Zone!$B:$B,"Reliance",Offtake_Chain_Zone!R:R)+SUMIF(Offtake_Chain_Zone!$B:$B,"Apollo",Offtake_Chain_Zone!R:R))/P5</f>
      </c>
    </row>
    <row r="23">
      <c r="A23" t="str">
        <v>Mamaearth portfolio share Jun'26</v>
      </c>
      <c r="C23" s="4">
        <f>SUMIF(Offtake_Brand_SubCat_Zone!$B:$B,"Mamaearth",Offtake_Brand_SubCat_Zone!S:S)/P5</f>
      </c>
    </row>
    <row r="24">
      <c r="A24" t="str">
        <v>The Derma Co. portfolio share Jun'26</v>
      </c>
      <c r="C24" s="4">
        <f>SUMIF(Offtake_Brand_SubCat_Zone!$B:$B,"The Derma Co.",Offtake_Brand_SubCat_Zone!S:S)/P5</f>
      </c>
    </row>
    <row r="26">
      <c r="A26" t="str">
        <v>Note: shared source Grand Totals (unrounded) close Jun'26 at 3,652 Lacs; row-level data in this workbook is rounded to whole Lacs, so sums land within ±5 Lacs (&lt;0.2%).</v>
      </c>
    </row>
  </sheetData>
  <ignoredErrors>
    <ignoredError numberStoredAsText="1" sqref="A1:Q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cols>
    <col min="1" max="1" width="22.83203125" customWidth="1"/>
    <col min="2" max="2" width="11.83203125" customWidth="1"/>
    <col min="3" max="3" width="11.83203125" customWidth="1"/>
    <col min="4" max="4" width="11.83203125" customWidth="1"/>
    <col min="5" max="5" width="15.83203125" customWidth="1"/>
    <col min="6" max="6" width="11.83203125" customWidth="1"/>
  </cols>
  <sheetData>
    <row r="1">
      <c r="A1" t="str">
        <v>Q1 FY27 SCORECARD (Apr–Jun'26 vs Apr–Jun'25) — OFFTAKE NSV ₹ Lacs</v>
      </c>
    </row>
    <row r="3">
      <c r="A3" t="str">
        <v>OVERALL</v>
      </c>
    </row>
    <row r="4">
      <c r="A4" t="str">
        <v/>
      </c>
      <c r="B4" t="str">
        <v>Q1 FY26</v>
      </c>
      <c r="C4" t="str">
        <v>Q1 FY27</v>
      </c>
      <c r="D4" t="str">
        <v>Growth %</v>
      </c>
      <c r="E4" t="str">
        <v>Mix % of Q1 FY27</v>
      </c>
      <c r="F4" t="str">
        <v>Δ ₹ Lacs</v>
      </c>
    </row>
    <row r="5">
      <c r="A5" t="str">
        <v>Total MT + EB2B</v>
      </c>
      <c r="B5" s="1">
        <f>(SUM(Offtake_Chain_Zone!D2:D200)+SUM(Offtake_Chain_Zone!E2:E200)+SUM(Offtake_Chain_Zone!F2:F200))</f>
      </c>
      <c r="C5" s="1">
        <f>(SUM(Offtake_Chain_Zone!P2:P200)+SUM(Offtake_Chain_Zone!Q2:Q200)+SUM(Offtake_Chain_Zone!R2:R200))</f>
      </c>
      <c r="D5" s="2">
        <f>(SUM(Offtake_Chain_Zone!P2:P200)+SUM(Offtake_Chain_Zone!Q2:Q200)+SUM(Offtake_Chain_Zone!R2:R200))/(SUM(Offtake_Chain_Zone!D2:D200)+SUM(Offtake_Chain_Zone!E2:E200)+SUM(Offtake_Chain_Zone!F2:F200))-1</f>
      </c>
      <c r="E5" s="4">
        <f>(SUM(Offtake_Chain_Zone!P2:P200)+SUM(Offtake_Chain_Zone!Q2:Q200)+SUM(Offtake_Chain_Zone!R2:R200))/(SUM(Offtake_Chain_Zone!P2:P200)+SUM(Offtake_Chain_Zone!Q2:Q200)+SUM(Offtake_Chain_Zone!R2:R200))</f>
      </c>
      <c r="F5" s="1">
        <f>(SUM(Offtake_Chain_Zone!P2:P200)+SUM(Offtake_Chain_Zone!Q2:Q200)+SUM(Offtake_Chain_Zone!R2:R200))-(SUM(Offtake_Chain_Zone!D2:D200)+SUM(Offtake_Chain_Zone!E2:E200)+SUM(Offtake_Chain_Zone!F2:F200))</f>
      </c>
    </row>
    <row r="7">
      <c r="A7" t="str">
        <v>BY ZONE</v>
      </c>
    </row>
    <row r="8">
      <c r="A8" t="str">
        <v/>
      </c>
      <c r="B8" t="str">
        <v>Q1 FY26</v>
      </c>
      <c r="C8" t="str">
        <v>Q1 FY27</v>
      </c>
      <c r="D8" t="str">
        <v>Growth %</v>
      </c>
      <c r="E8" t="str">
        <v>Mix % of Q1 FY27</v>
      </c>
      <c r="F8" t="str">
        <v>Δ ₹ Lacs</v>
      </c>
    </row>
    <row r="9">
      <c r="A9" t="str">
        <v>East</v>
      </c>
      <c r="B9" s="1">
        <f>(SUMIFS(Offtake_Chain_Zone!D:D,Offtake_Chain_Zone!$C:$C,"EAST")+SUMIFS(Offtake_Chain_Zone!E:E,Offtake_Chain_Zone!$C:$C,"EAST")+SUMIFS(Offtake_Chain_Zone!F:F,Offtake_Chain_Zone!$C:$C,"EAST"))</f>
      </c>
      <c r="C9" s="1">
        <f>(SUMIFS(Offtake_Chain_Zone!P:P,Offtake_Chain_Zone!$C:$C,"EAST")+SUMIFS(Offtake_Chain_Zone!Q:Q,Offtake_Chain_Zone!$C:$C,"EAST")+SUMIFS(Offtake_Chain_Zone!R:R,Offtake_Chain_Zone!$C:$C,"EAST"))</f>
      </c>
      <c r="D9" s="2">
        <f>(SUMIFS(Offtake_Chain_Zone!P:P,Offtake_Chain_Zone!$C:$C,"EAST")+SUMIFS(Offtake_Chain_Zone!Q:Q,Offtake_Chain_Zone!$C:$C,"EAST")+SUMIFS(Offtake_Chain_Zone!R:R,Offtake_Chain_Zone!$C:$C,"EAST"))/(SUMIFS(Offtake_Chain_Zone!D:D,Offtake_Chain_Zone!$C:$C,"EAST")+SUMIFS(Offtake_Chain_Zone!E:E,Offtake_Chain_Zone!$C:$C,"EAST")+SUMIFS(Offtake_Chain_Zone!F:F,Offtake_Chain_Zone!$C:$C,"EAST"))-1</f>
      </c>
      <c r="E9" s="4">
        <f>(SUMIFS(Offtake_Chain_Zone!P:P,Offtake_Chain_Zone!$C:$C,"EAST")+SUMIFS(Offtake_Chain_Zone!Q:Q,Offtake_Chain_Zone!$C:$C,"EAST")+SUMIFS(Offtake_Chain_Zone!R:R,Offtake_Chain_Zone!$C:$C,"EAST"))/(SUM(Offtake_Chain_Zone!P2:P200)+SUM(Offtake_Chain_Zone!Q2:Q200)+SUM(Offtake_Chain_Zone!R2:R200))</f>
      </c>
      <c r="F9" s="1">
        <f>(SUMIFS(Offtake_Chain_Zone!P:P,Offtake_Chain_Zone!$C:$C,"EAST")+SUMIFS(Offtake_Chain_Zone!Q:Q,Offtake_Chain_Zone!$C:$C,"EAST")+SUMIFS(Offtake_Chain_Zone!R:R,Offtake_Chain_Zone!$C:$C,"EAST"))-(SUMIFS(Offtake_Chain_Zone!D:D,Offtake_Chain_Zone!$C:$C,"EAST")+SUMIFS(Offtake_Chain_Zone!E:E,Offtake_Chain_Zone!$C:$C,"EAST")+SUMIFS(Offtake_Chain_Zone!F:F,Offtake_Chain_Zone!$C:$C,"EAST"))</f>
      </c>
    </row>
    <row r="10">
      <c r="A10" t="str">
        <v>North</v>
      </c>
      <c r="B10" s="1">
        <f>(SUMIFS(Offtake_Chain_Zone!D:D,Offtake_Chain_Zone!$C:$C,"NORTH")+SUMIFS(Offtake_Chain_Zone!E:E,Offtake_Chain_Zone!$C:$C,"NORTH")+SUMIFS(Offtake_Chain_Zone!F:F,Offtake_Chain_Zone!$C:$C,"NORTH"))</f>
      </c>
      <c r="C10" s="1">
        <f>(SUMIFS(Offtake_Chain_Zone!P:P,Offtake_Chain_Zone!$C:$C,"NORTH")+SUMIFS(Offtake_Chain_Zone!Q:Q,Offtake_Chain_Zone!$C:$C,"NORTH")+SUMIFS(Offtake_Chain_Zone!R:R,Offtake_Chain_Zone!$C:$C,"NORTH"))</f>
      </c>
      <c r="D10" s="2">
        <f>(SUMIFS(Offtake_Chain_Zone!P:P,Offtake_Chain_Zone!$C:$C,"NORTH")+SUMIFS(Offtake_Chain_Zone!Q:Q,Offtake_Chain_Zone!$C:$C,"NORTH")+SUMIFS(Offtake_Chain_Zone!R:R,Offtake_Chain_Zone!$C:$C,"NORTH"))/(SUMIFS(Offtake_Chain_Zone!D:D,Offtake_Chain_Zone!$C:$C,"NORTH")+SUMIFS(Offtake_Chain_Zone!E:E,Offtake_Chain_Zone!$C:$C,"NORTH")+SUMIFS(Offtake_Chain_Zone!F:F,Offtake_Chain_Zone!$C:$C,"NORTH"))-1</f>
      </c>
      <c r="E10" s="4">
        <f>(SUMIFS(Offtake_Chain_Zone!P:P,Offtake_Chain_Zone!$C:$C,"NORTH")+SUMIFS(Offtake_Chain_Zone!Q:Q,Offtake_Chain_Zone!$C:$C,"NORTH")+SUMIFS(Offtake_Chain_Zone!R:R,Offtake_Chain_Zone!$C:$C,"NORTH"))/(SUM(Offtake_Chain_Zone!P2:P200)+SUM(Offtake_Chain_Zone!Q2:Q200)+SUM(Offtake_Chain_Zone!R2:R200))</f>
      </c>
      <c r="F10" s="1">
        <f>(SUMIFS(Offtake_Chain_Zone!P:P,Offtake_Chain_Zone!$C:$C,"NORTH")+SUMIFS(Offtake_Chain_Zone!Q:Q,Offtake_Chain_Zone!$C:$C,"NORTH")+SUMIFS(Offtake_Chain_Zone!R:R,Offtake_Chain_Zone!$C:$C,"NORTH"))-(SUMIFS(Offtake_Chain_Zone!D:D,Offtake_Chain_Zone!$C:$C,"NORTH")+SUMIFS(Offtake_Chain_Zone!E:E,Offtake_Chain_Zone!$C:$C,"NORTH")+SUMIFS(Offtake_Chain_Zone!F:F,Offtake_Chain_Zone!$C:$C,"NORTH"))</f>
      </c>
    </row>
    <row r="11">
      <c r="A11" t="str">
        <v>South-1</v>
      </c>
      <c r="B11" s="1">
        <f>(SUMIFS(Offtake_Chain_Zone!D:D,Offtake_Chain_Zone!$C:$C,"SOUTH-1")+SUMIFS(Offtake_Chain_Zone!E:E,Offtake_Chain_Zone!$C:$C,"SOUTH-1")+SUMIFS(Offtake_Chain_Zone!F:F,Offtake_Chain_Zone!$C:$C,"SOUTH-1"))</f>
      </c>
      <c r="C11" s="1">
        <f>(SUMIFS(Offtake_Chain_Zone!P:P,Offtake_Chain_Zone!$C:$C,"SOUTH-1")+SUMIFS(Offtake_Chain_Zone!Q:Q,Offtake_Chain_Zone!$C:$C,"SOUTH-1")+SUMIFS(Offtake_Chain_Zone!R:R,Offtake_Chain_Zone!$C:$C,"SOUTH-1"))</f>
      </c>
      <c r="D11" s="2">
        <f>(SUMIFS(Offtake_Chain_Zone!P:P,Offtake_Chain_Zone!$C:$C,"SOUTH-1")+SUMIFS(Offtake_Chain_Zone!Q:Q,Offtake_Chain_Zone!$C:$C,"SOUTH-1")+SUMIFS(Offtake_Chain_Zone!R:R,Offtake_Chain_Zone!$C:$C,"SOUTH-1"))/(SUMIFS(Offtake_Chain_Zone!D:D,Offtake_Chain_Zone!$C:$C,"SOUTH-1")+SUMIFS(Offtake_Chain_Zone!E:E,Offtake_Chain_Zone!$C:$C,"SOUTH-1")+SUMIFS(Offtake_Chain_Zone!F:F,Offtake_Chain_Zone!$C:$C,"SOUTH-1"))-1</f>
      </c>
      <c r="E11" s="4">
        <f>(SUMIFS(Offtake_Chain_Zone!P:P,Offtake_Chain_Zone!$C:$C,"SOUTH-1")+SUMIFS(Offtake_Chain_Zone!Q:Q,Offtake_Chain_Zone!$C:$C,"SOUTH-1")+SUMIFS(Offtake_Chain_Zone!R:R,Offtake_Chain_Zone!$C:$C,"SOUTH-1"))/(SUM(Offtake_Chain_Zone!P2:P200)+SUM(Offtake_Chain_Zone!Q2:Q200)+SUM(Offtake_Chain_Zone!R2:R200))</f>
      </c>
      <c r="F11" s="1">
        <f>(SUMIFS(Offtake_Chain_Zone!P:P,Offtake_Chain_Zone!$C:$C,"SOUTH-1")+SUMIFS(Offtake_Chain_Zone!Q:Q,Offtake_Chain_Zone!$C:$C,"SOUTH-1")+SUMIFS(Offtake_Chain_Zone!R:R,Offtake_Chain_Zone!$C:$C,"SOUTH-1"))-(SUMIFS(Offtake_Chain_Zone!D:D,Offtake_Chain_Zone!$C:$C,"SOUTH-1")+SUMIFS(Offtake_Chain_Zone!E:E,Offtake_Chain_Zone!$C:$C,"SOUTH-1")+SUMIFS(Offtake_Chain_Zone!F:F,Offtake_Chain_Zone!$C:$C,"SOUTH-1"))</f>
      </c>
    </row>
    <row r="12">
      <c r="A12" t="str">
        <v>South-2</v>
      </c>
      <c r="B12" s="1">
        <f>(SUMIFS(Offtake_Chain_Zone!D:D,Offtake_Chain_Zone!$C:$C,"SOUTH-2")+SUMIFS(Offtake_Chain_Zone!E:E,Offtake_Chain_Zone!$C:$C,"SOUTH-2")+SUMIFS(Offtake_Chain_Zone!F:F,Offtake_Chain_Zone!$C:$C,"SOUTH-2"))</f>
      </c>
      <c r="C12" s="1">
        <f>(SUMIFS(Offtake_Chain_Zone!P:P,Offtake_Chain_Zone!$C:$C,"SOUTH-2")+SUMIFS(Offtake_Chain_Zone!Q:Q,Offtake_Chain_Zone!$C:$C,"SOUTH-2")+SUMIFS(Offtake_Chain_Zone!R:R,Offtake_Chain_Zone!$C:$C,"SOUTH-2"))</f>
      </c>
      <c r="D12" s="2">
        <f>(SUMIFS(Offtake_Chain_Zone!P:P,Offtake_Chain_Zone!$C:$C,"SOUTH-2")+SUMIFS(Offtake_Chain_Zone!Q:Q,Offtake_Chain_Zone!$C:$C,"SOUTH-2")+SUMIFS(Offtake_Chain_Zone!R:R,Offtake_Chain_Zone!$C:$C,"SOUTH-2"))/(SUMIFS(Offtake_Chain_Zone!D:D,Offtake_Chain_Zone!$C:$C,"SOUTH-2")+SUMIFS(Offtake_Chain_Zone!E:E,Offtake_Chain_Zone!$C:$C,"SOUTH-2")+SUMIFS(Offtake_Chain_Zone!F:F,Offtake_Chain_Zone!$C:$C,"SOUTH-2"))-1</f>
      </c>
      <c r="E12" s="4">
        <f>(SUMIFS(Offtake_Chain_Zone!P:P,Offtake_Chain_Zone!$C:$C,"SOUTH-2")+SUMIFS(Offtake_Chain_Zone!Q:Q,Offtake_Chain_Zone!$C:$C,"SOUTH-2")+SUMIFS(Offtake_Chain_Zone!R:R,Offtake_Chain_Zone!$C:$C,"SOUTH-2"))/(SUM(Offtake_Chain_Zone!P2:P200)+SUM(Offtake_Chain_Zone!Q2:Q200)+SUM(Offtake_Chain_Zone!R2:R200))</f>
      </c>
      <c r="F12" s="1">
        <f>(SUMIFS(Offtake_Chain_Zone!P:P,Offtake_Chain_Zone!$C:$C,"SOUTH-2")+SUMIFS(Offtake_Chain_Zone!Q:Q,Offtake_Chain_Zone!$C:$C,"SOUTH-2")+SUMIFS(Offtake_Chain_Zone!R:R,Offtake_Chain_Zone!$C:$C,"SOUTH-2"))-(SUMIFS(Offtake_Chain_Zone!D:D,Offtake_Chain_Zone!$C:$C,"SOUTH-2")+SUMIFS(Offtake_Chain_Zone!E:E,Offtake_Chain_Zone!$C:$C,"SOUTH-2")+SUMIFS(Offtake_Chain_Zone!F:F,Offtake_Chain_Zone!$C:$C,"SOUTH-2"))</f>
      </c>
    </row>
    <row r="13">
      <c r="A13" t="str">
        <v>West</v>
      </c>
      <c r="B13" s="1">
        <f>(SUMIFS(Offtake_Chain_Zone!D:D,Offtake_Chain_Zone!$C:$C,"WEST")+SUMIFS(Offtake_Chain_Zone!E:E,Offtake_Chain_Zone!$C:$C,"WEST")+SUMIFS(Offtake_Chain_Zone!F:F,Offtake_Chain_Zone!$C:$C,"WEST"))</f>
      </c>
      <c r="C13" s="1">
        <f>(SUMIFS(Offtake_Chain_Zone!P:P,Offtake_Chain_Zone!$C:$C,"WEST")+SUMIFS(Offtake_Chain_Zone!Q:Q,Offtake_Chain_Zone!$C:$C,"WEST")+SUMIFS(Offtake_Chain_Zone!R:R,Offtake_Chain_Zone!$C:$C,"WEST"))</f>
      </c>
      <c r="D13" s="2">
        <f>(SUMIFS(Offtake_Chain_Zone!P:P,Offtake_Chain_Zone!$C:$C,"WEST")+SUMIFS(Offtake_Chain_Zone!Q:Q,Offtake_Chain_Zone!$C:$C,"WEST")+SUMIFS(Offtake_Chain_Zone!R:R,Offtake_Chain_Zone!$C:$C,"WEST"))/(SUMIFS(Offtake_Chain_Zone!D:D,Offtake_Chain_Zone!$C:$C,"WEST")+SUMIFS(Offtake_Chain_Zone!E:E,Offtake_Chain_Zone!$C:$C,"WEST")+SUMIFS(Offtake_Chain_Zone!F:F,Offtake_Chain_Zone!$C:$C,"WEST"))-1</f>
      </c>
      <c r="E13" s="4">
        <f>(SUMIFS(Offtake_Chain_Zone!P:P,Offtake_Chain_Zone!$C:$C,"WEST")+SUMIFS(Offtake_Chain_Zone!Q:Q,Offtake_Chain_Zone!$C:$C,"WEST")+SUMIFS(Offtake_Chain_Zone!R:R,Offtake_Chain_Zone!$C:$C,"WEST"))/(SUM(Offtake_Chain_Zone!P2:P200)+SUM(Offtake_Chain_Zone!Q2:Q200)+SUM(Offtake_Chain_Zone!R2:R200))</f>
      </c>
      <c r="F13" s="1">
        <f>(SUMIFS(Offtake_Chain_Zone!P:P,Offtake_Chain_Zone!$C:$C,"WEST")+SUMIFS(Offtake_Chain_Zone!Q:Q,Offtake_Chain_Zone!$C:$C,"WEST")+SUMIFS(Offtake_Chain_Zone!R:R,Offtake_Chain_Zone!$C:$C,"WEST"))-(SUMIFS(Offtake_Chain_Zone!D:D,Offtake_Chain_Zone!$C:$C,"WEST")+SUMIFS(Offtake_Chain_Zone!E:E,Offtake_Chain_Zone!$C:$C,"WEST")+SUMIFS(Offtake_Chain_Zone!F:F,Offtake_Chain_Zone!$C:$C,"WEST"))</f>
      </c>
    </row>
    <row r="14">
      <c r="A14" t="str">
        <v>Pan India (FSN)</v>
      </c>
      <c r="B14" s="1">
        <f>(SUMIF(Offtake_Chain_Zone!$A:$A,"EB2B",Offtake_Chain_Zone!D:D)+SUMIF(Offtake_Chain_Zone!$A:$A,"EB2B",Offtake_Chain_Zone!E:E)+SUMIF(Offtake_Chain_Zone!$A:$A,"EB2B",Offtake_Chain_Zone!F:F))</f>
      </c>
      <c r="C14" s="1">
        <f>(SUMIF(Offtake_Chain_Zone!$A:$A,"EB2B",Offtake_Chain_Zone!P:P)+SUMIF(Offtake_Chain_Zone!$A:$A,"EB2B",Offtake_Chain_Zone!Q:Q)+SUMIF(Offtake_Chain_Zone!$A:$A,"EB2B",Offtake_Chain_Zone!R:R))</f>
      </c>
      <c r="D14" s="2">
        <f>(SUMIF(Offtake_Chain_Zone!$A:$A,"EB2B",Offtake_Chain_Zone!P:P)+SUMIF(Offtake_Chain_Zone!$A:$A,"EB2B",Offtake_Chain_Zone!Q:Q)+SUMIF(Offtake_Chain_Zone!$A:$A,"EB2B",Offtake_Chain_Zone!R:R))/(SUMIF(Offtake_Chain_Zone!$A:$A,"EB2B",Offtake_Chain_Zone!D:D)+SUMIF(Offtake_Chain_Zone!$A:$A,"EB2B",Offtake_Chain_Zone!E:E)+SUMIF(Offtake_Chain_Zone!$A:$A,"EB2B",Offtake_Chain_Zone!F:F))-1</f>
      </c>
      <c r="E14" s="4">
        <f>(SUMIF(Offtake_Chain_Zone!$A:$A,"EB2B",Offtake_Chain_Zone!P:P)+SUMIF(Offtake_Chain_Zone!$A:$A,"EB2B",Offtake_Chain_Zone!Q:Q)+SUMIF(Offtake_Chain_Zone!$A:$A,"EB2B",Offtake_Chain_Zone!R:R))/(SUM(Offtake_Chain_Zone!P2:P200)+SUM(Offtake_Chain_Zone!Q2:Q200)+SUM(Offtake_Chain_Zone!R2:R200))</f>
      </c>
      <c r="F14" s="1">
        <f>(SUMIF(Offtake_Chain_Zone!$A:$A,"EB2B",Offtake_Chain_Zone!P:P)+SUMIF(Offtake_Chain_Zone!$A:$A,"EB2B",Offtake_Chain_Zone!Q:Q)+SUMIF(Offtake_Chain_Zone!$A:$A,"EB2B",Offtake_Chain_Zone!R:R))-(SUMIF(Offtake_Chain_Zone!$A:$A,"EB2B",Offtake_Chain_Zone!D:D)+SUMIF(Offtake_Chain_Zone!$A:$A,"EB2B",Offtake_Chain_Zone!E:E)+SUMIF(Offtake_Chain_Zone!$A:$A,"EB2B",Offtake_Chain_Zone!F:F))</f>
      </c>
    </row>
    <row r="16">
      <c r="A16" t="str">
        <v>BY BRAND</v>
      </c>
    </row>
    <row r="17">
      <c r="A17" t="str">
        <v/>
      </c>
      <c r="B17" t="str">
        <v>Q1 FY26</v>
      </c>
      <c r="C17" t="str">
        <v>Q1 FY27</v>
      </c>
      <c r="D17" t="str">
        <v>Growth %</v>
      </c>
      <c r="E17" t="str">
        <v>Mix % of Q1 FY27</v>
      </c>
      <c r="F17" t="str">
        <v>Δ ₹ Lacs</v>
      </c>
    </row>
    <row r="18">
      <c r="A18" t="str">
        <v>Mamaearth</v>
      </c>
      <c r="B18" s="1">
        <f>(SUMIF(Offtake_Brand_SubCat_Zone!$B:$B,"Mamaearth",Offtake_Brand_SubCat_Zone!E:E)+SUMIF(Offtake_Brand_SubCat_Zone!$B:$B,"Mamaearth",Offtake_Brand_SubCat_Zone!F:F)+SUMIF(Offtake_Brand_SubCat_Zone!$B:$B,"Mamaearth",Offtake_Brand_SubCat_Zone!G:G))</f>
      </c>
      <c r="C18" s="1">
        <f>(SUMIF(Offtake_Brand_SubCat_Zone!$B:$B,"Mamaearth",Offtake_Brand_SubCat_Zone!Q:Q)+SUMIF(Offtake_Brand_SubCat_Zone!$B:$B,"Mamaearth",Offtake_Brand_SubCat_Zone!R:R)+SUMIF(Offtake_Brand_SubCat_Zone!$B:$B,"Mamaearth",Offtake_Brand_SubCat_Zone!S:S))</f>
      </c>
      <c r="D18" s="2">
        <f>(SUMIF(Offtake_Brand_SubCat_Zone!$B:$B,"Mamaearth",Offtake_Brand_SubCat_Zone!Q:Q)+SUMIF(Offtake_Brand_SubCat_Zone!$B:$B,"Mamaearth",Offtake_Brand_SubCat_Zone!R:R)+SUMIF(Offtake_Brand_SubCat_Zone!$B:$B,"Mamaearth",Offtake_Brand_SubCat_Zone!S:S))/(SUMIF(Offtake_Brand_SubCat_Zone!$B:$B,"Mamaearth",Offtake_Brand_SubCat_Zone!E:E)+SUMIF(Offtake_Brand_SubCat_Zone!$B:$B,"Mamaearth",Offtake_Brand_SubCat_Zone!F:F)+SUMIF(Offtake_Brand_SubCat_Zone!$B:$B,"Mamaearth",Offtake_Brand_SubCat_Zone!G:G))-1</f>
      </c>
      <c r="E18" s="4">
        <f>(SUMIF(Offtake_Brand_SubCat_Zone!$B:$B,"Mamaearth",Offtake_Brand_SubCat_Zone!Q:Q)+SUMIF(Offtake_Brand_SubCat_Zone!$B:$B,"Mamaearth",Offtake_Brand_SubCat_Zone!R:R)+SUMIF(Offtake_Brand_SubCat_Zone!$B:$B,"Mamaearth",Offtake_Brand_SubCat_Zone!S:S))/(SUM(Offtake_Chain_Zone!P2:P200)+SUM(Offtake_Chain_Zone!Q2:Q200)+SUM(Offtake_Chain_Zone!R2:R200))</f>
      </c>
      <c r="F18" s="1">
        <f>(SUMIF(Offtake_Brand_SubCat_Zone!$B:$B,"Mamaearth",Offtake_Brand_SubCat_Zone!Q:Q)+SUMIF(Offtake_Brand_SubCat_Zone!$B:$B,"Mamaearth",Offtake_Brand_SubCat_Zone!R:R)+SUMIF(Offtake_Brand_SubCat_Zone!$B:$B,"Mamaearth",Offtake_Brand_SubCat_Zone!S:S))-(SUMIF(Offtake_Brand_SubCat_Zone!$B:$B,"Mamaearth",Offtake_Brand_SubCat_Zone!E:E)+SUMIF(Offtake_Brand_SubCat_Zone!$B:$B,"Mamaearth",Offtake_Brand_SubCat_Zone!F:F)+SUMIF(Offtake_Brand_SubCat_Zone!$B:$B,"Mamaearth",Offtake_Brand_SubCat_Zone!G:G))</f>
      </c>
    </row>
    <row r="19">
      <c r="A19" t="str">
        <v>The Derma Co.</v>
      </c>
      <c r="B19" s="1">
        <f>(SUMIF(Offtake_Brand_SubCat_Zone!$B:$B,"The Derma Co.",Offtake_Brand_SubCat_Zone!E:E)+SUMIF(Offtake_Brand_SubCat_Zone!$B:$B,"The Derma Co.",Offtake_Brand_SubCat_Zone!F:F)+SUMIF(Offtake_Brand_SubCat_Zone!$B:$B,"The Derma Co.",Offtake_Brand_SubCat_Zone!G:G))</f>
      </c>
      <c r="C19" s="1">
        <f>(SUMIF(Offtake_Brand_SubCat_Zone!$B:$B,"The Derma Co.",Offtake_Brand_SubCat_Zone!Q:Q)+SUMIF(Offtake_Brand_SubCat_Zone!$B:$B,"The Derma Co.",Offtake_Brand_SubCat_Zone!R:R)+SUMIF(Offtake_Brand_SubCat_Zone!$B:$B,"The Derma Co.",Offtake_Brand_SubCat_Zone!S:S))</f>
      </c>
      <c r="D19" s="2">
        <f>(SUMIF(Offtake_Brand_SubCat_Zone!$B:$B,"The Derma Co.",Offtake_Brand_SubCat_Zone!Q:Q)+SUMIF(Offtake_Brand_SubCat_Zone!$B:$B,"The Derma Co.",Offtake_Brand_SubCat_Zone!R:R)+SUMIF(Offtake_Brand_SubCat_Zone!$B:$B,"The Derma Co.",Offtake_Brand_SubCat_Zone!S:S))/(SUMIF(Offtake_Brand_SubCat_Zone!$B:$B,"The Derma Co.",Offtake_Brand_SubCat_Zone!E:E)+SUMIF(Offtake_Brand_SubCat_Zone!$B:$B,"The Derma Co.",Offtake_Brand_SubCat_Zone!F:F)+SUMIF(Offtake_Brand_SubCat_Zone!$B:$B,"The Derma Co.",Offtake_Brand_SubCat_Zone!G:G))-1</f>
      </c>
      <c r="E19" s="4">
        <f>(SUMIF(Offtake_Brand_SubCat_Zone!$B:$B,"The Derma Co.",Offtake_Brand_SubCat_Zone!Q:Q)+SUMIF(Offtake_Brand_SubCat_Zone!$B:$B,"The Derma Co.",Offtake_Brand_SubCat_Zone!R:R)+SUMIF(Offtake_Brand_SubCat_Zone!$B:$B,"The Derma Co.",Offtake_Brand_SubCat_Zone!S:S))/(SUM(Offtake_Chain_Zone!P2:P200)+SUM(Offtake_Chain_Zone!Q2:Q200)+SUM(Offtake_Chain_Zone!R2:R200))</f>
      </c>
      <c r="F19" s="1">
        <f>(SUMIF(Offtake_Brand_SubCat_Zone!$B:$B,"The Derma Co.",Offtake_Brand_SubCat_Zone!Q:Q)+SUMIF(Offtake_Brand_SubCat_Zone!$B:$B,"The Derma Co.",Offtake_Brand_SubCat_Zone!R:R)+SUMIF(Offtake_Brand_SubCat_Zone!$B:$B,"The Derma Co.",Offtake_Brand_SubCat_Zone!S:S))-(SUMIF(Offtake_Brand_SubCat_Zone!$B:$B,"The Derma Co.",Offtake_Brand_SubCat_Zone!E:E)+SUMIF(Offtake_Brand_SubCat_Zone!$B:$B,"The Derma Co.",Offtake_Brand_SubCat_Zone!F:F)+SUMIF(Offtake_Brand_SubCat_Zone!$B:$B,"The Derma Co.",Offtake_Brand_SubCat_Zone!G:G))</f>
      </c>
    </row>
    <row r="20">
      <c r="A20" t="str">
        <v>Aqualogica</v>
      </c>
      <c r="B20" s="1">
        <f>(SUMIF(Offtake_Brand_SubCat_Zone!$B:$B,"Aqualogica",Offtake_Brand_SubCat_Zone!E:E)+SUMIF(Offtake_Brand_SubCat_Zone!$B:$B,"Aqualogica",Offtake_Brand_SubCat_Zone!F:F)+SUMIF(Offtake_Brand_SubCat_Zone!$B:$B,"Aqualogica",Offtake_Brand_SubCat_Zone!G:G))</f>
      </c>
      <c r="C20" s="1">
        <f>(SUMIF(Offtake_Brand_SubCat_Zone!$B:$B,"Aqualogica",Offtake_Brand_SubCat_Zone!Q:Q)+SUMIF(Offtake_Brand_SubCat_Zone!$B:$B,"Aqualogica",Offtake_Brand_SubCat_Zone!R:R)+SUMIF(Offtake_Brand_SubCat_Zone!$B:$B,"Aqualogica",Offtake_Brand_SubCat_Zone!S:S))</f>
      </c>
      <c r="D20" s="2">
        <f>(SUMIF(Offtake_Brand_SubCat_Zone!$B:$B,"Aqualogica",Offtake_Brand_SubCat_Zone!Q:Q)+SUMIF(Offtake_Brand_SubCat_Zone!$B:$B,"Aqualogica",Offtake_Brand_SubCat_Zone!R:R)+SUMIF(Offtake_Brand_SubCat_Zone!$B:$B,"Aqualogica",Offtake_Brand_SubCat_Zone!S:S))/(SUMIF(Offtake_Brand_SubCat_Zone!$B:$B,"Aqualogica",Offtake_Brand_SubCat_Zone!E:E)+SUMIF(Offtake_Brand_SubCat_Zone!$B:$B,"Aqualogica",Offtake_Brand_SubCat_Zone!F:F)+SUMIF(Offtake_Brand_SubCat_Zone!$B:$B,"Aqualogica",Offtake_Brand_SubCat_Zone!G:G))-1</f>
      </c>
      <c r="E20" s="4">
        <f>(SUMIF(Offtake_Brand_SubCat_Zone!$B:$B,"Aqualogica",Offtake_Brand_SubCat_Zone!Q:Q)+SUMIF(Offtake_Brand_SubCat_Zone!$B:$B,"Aqualogica",Offtake_Brand_SubCat_Zone!R:R)+SUMIF(Offtake_Brand_SubCat_Zone!$B:$B,"Aqualogica",Offtake_Brand_SubCat_Zone!S:S))/(SUM(Offtake_Chain_Zone!P2:P200)+SUM(Offtake_Chain_Zone!Q2:Q200)+SUM(Offtake_Chain_Zone!R2:R200))</f>
      </c>
      <c r="F20" s="1">
        <f>(SUMIF(Offtake_Brand_SubCat_Zone!$B:$B,"Aqualogica",Offtake_Brand_SubCat_Zone!Q:Q)+SUMIF(Offtake_Brand_SubCat_Zone!$B:$B,"Aqualogica",Offtake_Brand_SubCat_Zone!R:R)+SUMIF(Offtake_Brand_SubCat_Zone!$B:$B,"Aqualogica",Offtake_Brand_SubCat_Zone!S:S))-(SUMIF(Offtake_Brand_SubCat_Zone!$B:$B,"Aqualogica",Offtake_Brand_SubCat_Zone!E:E)+SUMIF(Offtake_Brand_SubCat_Zone!$B:$B,"Aqualogica",Offtake_Brand_SubCat_Zone!F:F)+SUMIF(Offtake_Brand_SubCat_Zone!$B:$B,"Aqualogica",Offtake_Brand_SubCat_Zone!G:G))</f>
      </c>
    </row>
    <row r="22">
      <c r="A22" t="str">
        <v>TOP CHAINS</v>
      </c>
    </row>
    <row r="23">
      <c r="A23" t="str">
        <v/>
      </c>
      <c r="B23" t="str">
        <v>Q1 FY26</v>
      </c>
      <c r="C23" t="str">
        <v>Q1 FY27</v>
      </c>
      <c r="D23" t="str">
        <v>Growth %</v>
      </c>
      <c r="E23" t="str">
        <v>Mix % of Q1 FY27</v>
      </c>
      <c r="F23" t="str">
        <v>Δ ₹ Lacs</v>
      </c>
    </row>
    <row r="24">
      <c r="A24" t="str">
        <v>Dmart</v>
      </c>
      <c r="B24" s="1">
        <f>(SUMIF(Offtake_Chain_Zone!$B:$B,"Dmart",Offtake_Chain_Zone!D:D)+SUMIF(Offtake_Chain_Zone!$B:$B,"Dmart",Offtake_Chain_Zone!E:E)+SUMIF(Offtake_Chain_Zone!$B:$B,"Dmart",Offtake_Chain_Zone!F:F))</f>
      </c>
      <c r="C24" s="1">
        <f>(SUMIF(Offtake_Chain_Zone!$B:$B,"Dmart",Offtake_Chain_Zone!P:P)+SUMIF(Offtake_Chain_Zone!$B:$B,"Dmart",Offtake_Chain_Zone!Q:Q)+SUMIF(Offtake_Chain_Zone!$B:$B,"Dmart",Offtake_Chain_Zone!R:R))</f>
      </c>
      <c r="D24" s="2">
        <f>(SUMIF(Offtake_Chain_Zone!$B:$B,"Dmart",Offtake_Chain_Zone!P:P)+SUMIF(Offtake_Chain_Zone!$B:$B,"Dmart",Offtake_Chain_Zone!Q:Q)+SUMIF(Offtake_Chain_Zone!$B:$B,"Dmart",Offtake_Chain_Zone!R:R))/(SUMIF(Offtake_Chain_Zone!$B:$B,"Dmart",Offtake_Chain_Zone!D:D)+SUMIF(Offtake_Chain_Zone!$B:$B,"Dmart",Offtake_Chain_Zone!E:E)+SUMIF(Offtake_Chain_Zone!$B:$B,"Dmart",Offtake_Chain_Zone!F:F))-1</f>
      </c>
      <c r="E24" s="4">
        <f>(SUMIF(Offtake_Chain_Zone!$B:$B,"Dmart",Offtake_Chain_Zone!P:P)+SUMIF(Offtake_Chain_Zone!$B:$B,"Dmart",Offtake_Chain_Zone!Q:Q)+SUMIF(Offtake_Chain_Zone!$B:$B,"Dmart",Offtake_Chain_Zone!R:R))/(SUM(Offtake_Chain_Zone!P2:P200)+SUM(Offtake_Chain_Zone!Q2:Q200)+SUM(Offtake_Chain_Zone!R2:R200))</f>
      </c>
      <c r="F24" s="1">
        <f>(SUMIF(Offtake_Chain_Zone!$B:$B,"Dmart",Offtake_Chain_Zone!P:P)+SUMIF(Offtake_Chain_Zone!$B:$B,"Dmart",Offtake_Chain_Zone!Q:Q)+SUMIF(Offtake_Chain_Zone!$B:$B,"Dmart",Offtake_Chain_Zone!R:R))-(SUMIF(Offtake_Chain_Zone!$B:$B,"Dmart",Offtake_Chain_Zone!D:D)+SUMIF(Offtake_Chain_Zone!$B:$B,"Dmart",Offtake_Chain_Zone!E:E)+SUMIF(Offtake_Chain_Zone!$B:$B,"Dmart",Offtake_Chain_Zone!F:F))</f>
      </c>
    </row>
    <row r="25">
      <c r="A25" t="str">
        <v>Reliance</v>
      </c>
      <c r="B25" s="1">
        <f>(SUMIF(Offtake_Chain_Zone!$B:$B,"Reliance",Offtake_Chain_Zone!D:D)+SUMIF(Offtake_Chain_Zone!$B:$B,"Reliance",Offtake_Chain_Zone!E:E)+SUMIF(Offtake_Chain_Zone!$B:$B,"Reliance",Offtake_Chain_Zone!F:F))</f>
      </c>
      <c r="C25" s="1">
        <f>(SUMIF(Offtake_Chain_Zone!$B:$B,"Reliance",Offtake_Chain_Zone!P:P)+SUMIF(Offtake_Chain_Zone!$B:$B,"Reliance",Offtake_Chain_Zone!Q:Q)+SUMIF(Offtake_Chain_Zone!$B:$B,"Reliance",Offtake_Chain_Zone!R:R))</f>
      </c>
      <c r="D25" s="2">
        <f>(SUMIF(Offtake_Chain_Zone!$B:$B,"Reliance",Offtake_Chain_Zone!P:P)+SUMIF(Offtake_Chain_Zone!$B:$B,"Reliance",Offtake_Chain_Zone!Q:Q)+SUMIF(Offtake_Chain_Zone!$B:$B,"Reliance",Offtake_Chain_Zone!R:R))/(SUMIF(Offtake_Chain_Zone!$B:$B,"Reliance",Offtake_Chain_Zone!D:D)+SUMIF(Offtake_Chain_Zone!$B:$B,"Reliance",Offtake_Chain_Zone!E:E)+SUMIF(Offtake_Chain_Zone!$B:$B,"Reliance",Offtake_Chain_Zone!F:F))-1</f>
      </c>
      <c r="E25" s="4">
        <f>(SUMIF(Offtake_Chain_Zone!$B:$B,"Reliance",Offtake_Chain_Zone!P:P)+SUMIF(Offtake_Chain_Zone!$B:$B,"Reliance",Offtake_Chain_Zone!Q:Q)+SUMIF(Offtake_Chain_Zone!$B:$B,"Reliance",Offtake_Chain_Zone!R:R))/(SUM(Offtake_Chain_Zone!P2:P200)+SUM(Offtake_Chain_Zone!Q2:Q200)+SUM(Offtake_Chain_Zone!R2:R200))</f>
      </c>
      <c r="F25" s="1">
        <f>(SUMIF(Offtake_Chain_Zone!$B:$B,"Reliance",Offtake_Chain_Zone!P:P)+SUMIF(Offtake_Chain_Zone!$B:$B,"Reliance",Offtake_Chain_Zone!Q:Q)+SUMIF(Offtake_Chain_Zone!$B:$B,"Reliance",Offtake_Chain_Zone!R:R))-(SUMIF(Offtake_Chain_Zone!$B:$B,"Reliance",Offtake_Chain_Zone!D:D)+SUMIF(Offtake_Chain_Zone!$B:$B,"Reliance",Offtake_Chain_Zone!E:E)+SUMIF(Offtake_Chain_Zone!$B:$B,"Reliance",Offtake_Chain_Zone!F:F))</f>
      </c>
    </row>
    <row r="26">
      <c r="A26" t="str">
        <v>Apollo</v>
      </c>
      <c r="B26" s="1">
        <f>(SUMIF(Offtake_Chain_Zone!$B:$B,"Apollo",Offtake_Chain_Zone!D:D)+SUMIF(Offtake_Chain_Zone!$B:$B,"Apollo",Offtake_Chain_Zone!E:E)+SUMIF(Offtake_Chain_Zone!$B:$B,"Apollo",Offtake_Chain_Zone!F:F))</f>
      </c>
      <c r="C26" s="1">
        <f>(SUMIF(Offtake_Chain_Zone!$B:$B,"Apollo",Offtake_Chain_Zone!P:P)+SUMIF(Offtake_Chain_Zone!$B:$B,"Apollo",Offtake_Chain_Zone!Q:Q)+SUMIF(Offtake_Chain_Zone!$B:$B,"Apollo",Offtake_Chain_Zone!R:R))</f>
      </c>
      <c r="D26" s="2">
        <f>(SUMIF(Offtake_Chain_Zone!$B:$B,"Apollo",Offtake_Chain_Zone!P:P)+SUMIF(Offtake_Chain_Zone!$B:$B,"Apollo",Offtake_Chain_Zone!Q:Q)+SUMIF(Offtake_Chain_Zone!$B:$B,"Apollo",Offtake_Chain_Zone!R:R))/(SUMIF(Offtake_Chain_Zone!$B:$B,"Apollo",Offtake_Chain_Zone!D:D)+SUMIF(Offtake_Chain_Zone!$B:$B,"Apollo",Offtake_Chain_Zone!E:E)+SUMIF(Offtake_Chain_Zone!$B:$B,"Apollo",Offtake_Chain_Zone!F:F))-1</f>
      </c>
      <c r="E26" s="4">
        <f>(SUMIF(Offtake_Chain_Zone!$B:$B,"Apollo",Offtake_Chain_Zone!P:P)+SUMIF(Offtake_Chain_Zone!$B:$B,"Apollo",Offtake_Chain_Zone!Q:Q)+SUMIF(Offtake_Chain_Zone!$B:$B,"Apollo",Offtake_Chain_Zone!R:R))/(SUM(Offtake_Chain_Zone!P2:P200)+SUM(Offtake_Chain_Zone!Q2:Q200)+SUM(Offtake_Chain_Zone!R2:R200))</f>
      </c>
      <c r="F26" s="1">
        <f>(SUMIF(Offtake_Chain_Zone!$B:$B,"Apollo",Offtake_Chain_Zone!P:P)+SUMIF(Offtake_Chain_Zone!$B:$B,"Apollo",Offtake_Chain_Zone!Q:Q)+SUMIF(Offtake_Chain_Zone!$B:$B,"Apollo",Offtake_Chain_Zone!R:R))-(SUMIF(Offtake_Chain_Zone!$B:$B,"Apollo",Offtake_Chain_Zone!D:D)+SUMIF(Offtake_Chain_Zone!$B:$B,"Apollo",Offtake_Chain_Zone!E:E)+SUMIF(Offtake_Chain_Zone!$B:$B,"Apollo",Offtake_Chain_Zone!F:F))</f>
      </c>
    </row>
    <row r="27">
      <c r="A27" t="str">
        <v>FSN (EB2B)</v>
      </c>
      <c r="B27" s="1">
        <f>(SUMIF(Offtake_Chain_Zone!$B:$B,"Fsn",Offtake_Chain_Zone!D:D)+SUMIF(Offtake_Chain_Zone!$B:$B,"Fsn",Offtake_Chain_Zone!E:E)+SUMIF(Offtake_Chain_Zone!$B:$B,"Fsn",Offtake_Chain_Zone!F:F))</f>
      </c>
      <c r="C27" s="1">
        <f>(SUMIF(Offtake_Chain_Zone!$B:$B,"Fsn",Offtake_Chain_Zone!P:P)+SUMIF(Offtake_Chain_Zone!$B:$B,"Fsn",Offtake_Chain_Zone!Q:Q)+SUMIF(Offtake_Chain_Zone!$B:$B,"Fsn",Offtake_Chain_Zone!R:R))</f>
      </c>
      <c r="D27" s="2">
        <f>(SUMIF(Offtake_Chain_Zone!$B:$B,"Fsn",Offtake_Chain_Zone!P:P)+SUMIF(Offtake_Chain_Zone!$B:$B,"Fsn",Offtake_Chain_Zone!Q:Q)+SUMIF(Offtake_Chain_Zone!$B:$B,"Fsn",Offtake_Chain_Zone!R:R))/(SUMIF(Offtake_Chain_Zone!$B:$B,"Fsn",Offtake_Chain_Zone!D:D)+SUMIF(Offtake_Chain_Zone!$B:$B,"Fsn",Offtake_Chain_Zone!E:E)+SUMIF(Offtake_Chain_Zone!$B:$B,"Fsn",Offtake_Chain_Zone!F:F))-1</f>
      </c>
      <c r="E27" s="4">
        <f>(SUMIF(Offtake_Chain_Zone!$B:$B,"Fsn",Offtake_Chain_Zone!P:P)+SUMIF(Offtake_Chain_Zone!$B:$B,"Fsn",Offtake_Chain_Zone!Q:Q)+SUMIF(Offtake_Chain_Zone!$B:$B,"Fsn",Offtake_Chain_Zone!R:R))/(SUM(Offtake_Chain_Zone!P2:P200)+SUM(Offtake_Chain_Zone!Q2:Q200)+SUM(Offtake_Chain_Zone!R2:R200))</f>
      </c>
      <c r="F27" s="1">
        <f>(SUMIF(Offtake_Chain_Zone!$B:$B,"Fsn",Offtake_Chain_Zone!P:P)+SUMIF(Offtake_Chain_Zone!$B:$B,"Fsn",Offtake_Chain_Zone!Q:Q)+SUMIF(Offtake_Chain_Zone!$B:$B,"Fsn",Offtake_Chain_Zone!R:R))-(SUMIF(Offtake_Chain_Zone!$B:$B,"Fsn",Offtake_Chain_Zone!D:D)+SUMIF(Offtake_Chain_Zone!$B:$B,"Fsn",Offtake_Chain_Zone!E:E)+SUMIF(Offtake_Chain_Zone!$B:$B,"Fsn",Offtake_Chain_Zone!F:F))</f>
      </c>
    </row>
    <row r="28">
      <c r="A28" t="str">
        <v>Lulu</v>
      </c>
      <c r="B28" s="1">
        <f>(SUMIF(Offtake_Chain_Zone!$B:$B,"Lulu",Offtake_Chain_Zone!D:D)+SUMIF(Offtake_Chain_Zone!$B:$B,"Lulu",Offtake_Chain_Zone!E:E)+SUMIF(Offtake_Chain_Zone!$B:$B,"Lulu",Offtake_Chain_Zone!F:F))</f>
      </c>
      <c r="C28" s="1">
        <f>(SUMIF(Offtake_Chain_Zone!$B:$B,"Lulu",Offtake_Chain_Zone!P:P)+SUMIF(Offtake_Chain_Zone!$B:$B,"Lulu",Offtake_Chain_Zone!Q:Q)+SUMIF(Offtake_Chain_Zone!$B:$B,"Lulu",Offtake_Chain_Zone!R:R))</f>
      </c>
      <c r="D28" s="2">
        <f>(SUMIF(Offtake_Chain_Zone!$B:$B,"Lulu",Offtake_Chain_Zone!P:P)+SUMIF(Offtake_Chain_Zone!$B:$B,"Lulu",Offtake_Chain_Zone!Q:Q)+SUMIF(Offtake_Chain_Zone!$B:$B,"Lulu",Offtake_Chain_Zone!R:R))/(SUMIF(Offtake_Chain_Zone!$B:$B,"Lulu",Offtake_Chain_Zone!D:D)+SUMIF(Offtake_Chain_Zone!$B:$B,"Lulu",Offtake_Chain_Zone!E:E)+SUMIF(Offtake_Chain_Zone!$B:$B,"Lulu",Offtake_Chain_Zone!F:F))-1</f>
      </c>
      <c r="E28" s="4">
        <f>(SUMIF(Offtake_Chain_Zone!$B:$B,"Lulu",Offtake_Chain_Zone!P:P)+SUMIF(Offtake_Chain_Zone!$B:$B,"Lulu",Offtake_Chain_Zone!Q:Q)+SUMIF(Offtake_Chain_Zone!$B:$B,"Lulu",Offtake_Chain_Zone!R:R))/(SUM(Offtake_Chain_Zone!P2:P200)+SUM(Offtake_Chain_Zone!Q2:Q200)+SUM(Offtake_Chain_Zone!R2:R200))</f>
      </c>
      <c r="F28" s="1">
        <f>(SUMIF(Offtake_Chain_Zone!$B:$B,"Lulu",Offtake_Chain_Zone!P:P)+SUMIF(Offtake_Chain_Zone!$B:$B,"Lulu",Offtake_Chain_Zone!Q:Q)+SUMIF(Offtake_Chain_Zone!$B:$B,"Lulu",Offtake_Chain_Zone!R:R))-(SUMIF(Offtake_Chain_Zone!$B:$B,"Lulu",Offtake_Chain_Zone!D:D)+SUMIF(Offtake_Chain_Zone!$B:$B,"Lulu",Offtake_Chain_Zone!E:E)+SUMIF(Offtake_Chain_Zone!$B:$B,"Lulu",Offtake_Chain_Zone!F:F))</f>
      </c>
    </row>
    <row r="29">
      <c r="A29" t="str">
        <v>Wellness Forever</v>
      </c>
      <c r="B29" s="1">
        <f>(SUMIF(Offtake_Chain_Zone!$B:$B,"Wellness Forever",Offtake_Chain_Zone!D:D)+SUMIF(Offtake_Chain_Zone!$B:$B,"Wellness Forever",Offtake_Chain_Zone!E:E)+SUMIF(Offtake_Chain_Zone!$B:$B,"Wellness Forever",Offtake_Chain_Zone!F:F))</f>
      </c>
      <c r="C29" s="1">
        <f>(SUMIF(Offtake_Chain_Zone!$B:$B,"Wellness Forever",Offtake_Chain_Zone!P:P)+SUMIF(Offtake_Chain_Zone!$B:$B,"Wellness Forever",Offtake_Chain_Zone!Q:Q)+SUMIF(Offtake_Chain_Zone!$B:$B,"Wellness Forever",Offtake_Chain_Zone!R:R))</f>
      </c>
      <c r="D29" s="2">
        <f>(SUMIF(Offtake_Chain_Zone!$B:$B,"Wellness Forever",Offtake_Chain_Zone!P:P)+SUMIF(Offtake_Chain_Zone!$B:$B,"Wellness Forever",Offtake_Chain_Zone!Q:Q)+SUMIF(Offtake_Chain_Zone!$B:$B,"Wellness Forever",Offtake_Chain_Zone!R:R))/(SUMIF(Offtake_Chain_Zone!$B:$B,"Wellness Forever",Offtake_Chain_Zone!D:D)+SUMIF(Offtake_Chain_Zone!$B:$B,"Wellness Forever",Offtake_Chain_Zone!E:E)+SUMIF(Offtake_Chain_Zone!$B:$B,"Wellness Forever",Offtake_Chain_Zone!F:F))-1</f>
      </c>
      <c r="E29" s="4">
        <f>(SUMIF(Offtake_Chain_Zone!$B:$B,"Wellness Forever",Offtake_Chain_Zone!P:P)+SUMIF(Offtake_Chain_Zone!$B:$B,"Wellness Forever",Offtake_Chain_Zone!Q:Q)+SUMIF(Offtake_Chain_Zone!$B:$B,"Wellness Forever",Offtake_Chain_Zone!R:R))/(SUM(Offtake_Chain_Zone!P2:P200)+SUM(Offtake_Chain_Zone!Q2:Q200)+SUM(Offtake_Chain_Zone!R2:R200))</f>
      </c>
      <c r="F29" s="1">
        <f>(SUMIF(Offtake_Chain_Zone!$B:$B,"Wellness Forever",Offtake_Chain_Zone!P:P)+SUMIF(Offtake_Chain_Zone!$B:$B,"Wellness Forever",Offtake_Chain_Zone!Q:Q)+SUMIF(Offtake_Chain_Zone!$B:$B,"Wellness Forever",Offtake_Chain_Zone!R:R))-(SUMIF(Offtake_Chain_Zone!$B:$B,"Wellness Forever",Offtake_Chain_Zone!D:D)+SUMIF(Offtake_Chain_Zone!$B:$B,"Wellness Forever",Offtake_Chain_Zone!E:E)+SUMIF(Offtake_Chain_Zone!$B:$B,"Wellness Forever",Offtake_Chain_Zone!F:F))</f>
      </c>
    </row>
  </sheetData>
  <ignoredErrors>
    <ignoredError numberStoredAsText="1" sqref="A1:H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22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</cols>
  <sheetData>
    <row r="1">
      <c r="A1" t="str">
        <v>ZONE PERFORMANCE SUMMARY — Jun'26 &amp; Q1 FY27</v>
      </c>
    </row>
    <row r="2">
      <c r="A2" t="str">
        <v>All values ₹ Lacs NSV. Live formulas — refresh with raw-sheet edits. L3M = Mar–May'26 avg; GOLY = vs same month LY; Q1 = Apr–Jun.</v>
      </c>
    </row>
    <row r="4">
      <c r="A4" t="str">
        <v/>
      </c>
      <c r="B4" t="str">
        <v>Jun-25</v>
      </c>
      <c r="C4" t="str">
        <v>Apr-26</v>
      </c>
      <c r="D4" t="str">
        <v>May-26</v>
      </c>
      <c r="E4" t="str">
        <v>Jun-26</v>
      </c>
      <c r="F4" t="str">
        <v>Share % Jun'26</v>
      </c>
      <c r="G4" t="str">
        <v>L3M Avg</v>
      </c>
      <c r="H4" t="str">
        <v>GO L3M %</v>
      </c>
      <c r="I4" t="str">
        <v>MoM %</v>
      </c>
      <c r="J4" t="str">
        <v>GOLY %</v>
      </c>
      <c r="K4" t="str">
        <v>Q1 FY26</v>
      </c>
      <c r="L4" t="str">
        <v>Q1 FY27</v>
      </c>
      <c r="M4" t="str">
        <v>Q1 Growth %</v>
      </c>
    </row>
    <row r="5">
      <c r="A5" t="str">
        <v>EAST</v>
      </c>
      <c r="B5" s="1">
        <f>SUMIFS(Offtake_Chain_Zone!F:F,Offtake_Chain_Zone!$C:$C,"EAST")</f>
      </c>
      <c r="C5" s="1">
        <f>SUMIFS(Offtake_Chain_Zone!P:P,Offtake_Chain_Zone!$C:$C,"EAST")</f>
      </c>
      <c r="D5" s="1">
        <f>SUMIFS(Offtake_Chain_Zone!Q:Q,Offtake_Chain_Zone!$C:$C,"EAST")</f>
      </c>
      <c r="E5" s="1">
        <f>SUMIFS(Offtake_Chain_Zone!R:R,Offtake_Chain_Zone!$C:$C,"EAST")</f>
      </c>
      <c r="F5" s="4">
        <f>E5/E$11</f>
      </c>
      <c r="G5" s="5">
        <f>AVERAGE(SUMIFS(Offtake_Chain_Zone!O:O,Offtake_Chain_Zone!$C:$C,"EAST"),SUMIFS(Offtake_Chain_Zone!P:P,Offtake_Chain_Zone!$C:$C,"EAST"),SUMIFS(Offtake_Chain_Zone!Q:Q,Offtake_Chain_Zone!$C:$C,"EAST"))</f>
      </c>
      <c r="H5" s="2">
        <f>SUMIFS(Offtake_Chain_Zone!R:R,Offtake_Chain_Zone!$C:$C,"EAST")/AVERAGE(SUMIFS(Offtake_Chain_Zone!O:O,Offtake_Chain_Zone!$C:$C,"EAST"),SUMIFS(Offtake_Chain_Zone!P:P,Offtake_Chain_Zone!$C:$C,"EAST"),SUMIFS(Offtake_Chain_Zone!Q:Q,Offtake_Chain_Zone!$C:$C,"EAST"))-1</f>
      </c>
      <c r="I5" s="2">
        <f>SUMIFS(Offtake_Chain_Zone!R:R,Offtake_Chain_Zone!$C:$C,"EAST")/SUMIFS(Offtake_Chain_Zone!Q:Q,Offtake_Chain_Zone!$C:$C,"EAST")-1</f>
      </c>
      <c r="J5" s="2">
        <f>SUMIFS(Offtake_Chain_Zone!R:R,Offtake_Chain_Zone!$C:$C,"EAST")/SUMIFS(Offtake_Chain_Zone!F:F,Offtake_Chain_Zone!$C:$C,"EAST")-1</f>
      </c>
      <c r="K5" s="1">
        <f>(SUMIFS(Offtake_Chain_Zone!D:D,Offtake_Chain_Zone!$C:$C,"EAST")+SUMIFS(Offtake_Chain_Zone!E:E,Offtake_Chain_Zone!$C:$C,"EAST")+SUMIFS(Offtake_Chain_Zone!F:F,Offtake_Chain_Zone!$C:$C,"EAST"))</f>
      </c>
      <c r="L5" s="1">
        <f>(SUMIFS(Offtake_Chain_Zone!P:P,Offtake_Chain_Zone!$C:$C,"EAST")+SUMIFS(Offtake_Chain_Zone!Q:Q,Offtake_Chain_Zone!$C:$C,"EAST")+SUMIFS(Offtake_Chain_Zone!R:R,Offtake_Chain_Zone!$C:$C,"EAST"))</f>
      </c>
      <c r="M5" s="2">
        <f>(SUMIFS(Offtake_Chain_Zone!P:P,Offtake_Chain_Zone!$C:$C,"EAST")+SUMIFS(Offtake_Chain_Zone!Q:Q,Offtake_Chain_Zone!$C:$C,"EAST")+SUMIFS(Offtake_Chain_Zone!R:R,Offtake_Chain_Zone!$C:$C,"EAST"))/(SUMIFS(Offtake_Chain_Zone!D:D,Offtake_Chain_Zone!$C:$C,"EAST")+SUMIFS(Offtake_Chain_Zone!E:E,Offtake_Chain_Zone!$C:$C,"EAST")+SUMIFS(Offtake_Chain_Zone!F:F,Offtake_Chain_Zone!$C:$C,"EAST"))-1</f>
      </c>
    </row>
    <row r="6">
      <c r="A6" t="str">
        <v>NORTH</v>
      </c>
      <c r="B6" s="1">
        <f>SUMIFS(Offtake_Chain_Zone!F:F,Offtake_Chain_Zone!$C:$C,"NORTH")</f>
      </c>
      <c r="C6" s="1">
        <f>SUMIFS(Offtake_Chain_Zone!P:P,Offtake_Chain_Zone!$C:$C,"NORTH")</f>
      </c>
      <c r="D6" s="1">
        <f>SUMIFS(Offtake_Chain_Zone!Q:Q,Offtake_Chain_Zone!$C:$C,"NORTH")</f>
      </c>
      <c r="E6" s="1">
        <f>SUMIFS(Offtake_Chain_Zone!R:R,Offtake_Chain_Zone!$C:$C,"NORTH")</f>
      </c>
      <c r="F6" s="4">
        <f>E6/E$11</f>
      </c>
      <c r="G6" s="5">
        <f>AVERAGE(SUMIFS(Offtake_Chain_Zone!O:O,Offtake_Chain_Zone!$C:$C,"NORTH"),SUMIFS(Offtake_Chain_Zone!P:P,Offtake_Chain_Zone!$C:$C,"NORTH"),SUMIFS(Offtake_Chain_Zone!Q:Q,Offtake_Chain_Zone!$C:$C,"NORTH"))</f>
      </c>
      <c r="H6" s="2">
        <f>SUMIFS(Offtake_Chain_Zone!R:R,Offtake_Chain_Zone!$C:$C,"NORTH")/AVERAGE(SUMIFS(Offtake_Chain_Zone!O:O,Offtake_Chain_Zone!$C:$C,"NORTH"),SUMIFS(Offtake_Chain_Zone!P:P,Offtake_Chain_Zone!$C:$C,"NORTH"),SUMIFS(Offtake_Chain_Zone!Q:Q,Offtake_Chain_Zone!$C:$C,"NORTH"))-1</f>
      </c>
      <c r="I6" s="2">
        <f>SUMIFS(Offtake_Chain_Zone!R:R,Offtake_Chain_Zone!$C:$C,"NORTH")/SUMIFS(Offtake_Chain_Zone!Q:Q,Offtake_Chain_Zone!$C:$C,"NORTH")-1</f>
      </c>
      <c r="J6" s="2">
        <f>SUMIFS(Offtake_Chain_Zone!R:R,Offtake_Chain_Zone!$C:$C,"NORTH")/SUMIFS(Offtake_Chain_Zone!F:F,Offtake_Chain_Zone!$C:$C,"NORTH")-1</f>
      </c>
      <c r="K6" s="1">
        <f>(SUMIFS(Offtake_Chain_Zone!D:D,Offtake_Chain_Zone!$C:$C,"NORTH")+SUMIFS(Offtake_Chain_Zone!E:E,Offtake_Chain_Zone!$C:$C,"NORTH")+SUMIFS(Offtake_Chain_Zone!F:F,Offtake_Chain_Zone!$C:$C,"NORTH"))</f>
      </c>
      <c r="L6" s="1">
        <f>(SUMIFS(Offtake_Chain_Zone!P:P,Offtake_Chain_Zone!$C:$C,"NORTH")+SUMIFS(Offtake_Chain_Zone!Q:Q,Offtake_Chain_Zone!$C:$C,"NORTH")+SUMIFS(Offtake_Chain_Zone!R:R,Offtake_Chain_Zone!$C:$C,"NORTH"))</f>
      </c>
      <c r="M6" s="2">
        <f>(SUMIFS(Offtake_Chain_Zone!P:P,Offtake_Chain_Zone!$C:$C,"NORTH")+SUMIFS(Offtake_Chain_Zone!Q:Q,Offtake_Chain_Zone!$C:$C,"NORTH")+SUMIFS(Offtake_Chain_Zone!R:R,Offtake_Chain_Zone!$C:$C,"NORTH"))/(SUMIFS(Offtake_Chain_Zone!D:D,Offtake_Chain_Zone!$C:$C,"NORTH")+SUMIFS(Offtake_Chain_Zone!E:E,Offtake_Chain_Zone!$C:$C,"NORTH")+SUMIFS(Offtake_Chain_Zone!F:F,Offtake_Chain_Zone!$C:$C,"NORTH"))-1</f>
      </c>
    </row>
    <row r="7">
      <c r="A7" t="str">
        <v>SOUTH-1</v>
      </c>
      <c r="B7" s="1">
        <f>SUMIFS(Offtake_Chain_Zone!F:F,Offtake_Chain_Zone!$C:$C,"SOUTH-1")</f>
      </c>
      <c r="C7" s="1">
        <f>SUMIFS(Offtake_Chain_Zone!P:P,Offtake_Chain_Zone!$C:$C,"SOUTH-1")</f>
      </c>
      <c r="D7" s="1">
        <f>SUMIFS(Offtake_Chain_Zone!Q:Q,Offtake_Chain_Zone!$C:$C,"SOUTH-1")</f>
      </c>
      <c r="E7" s="1">
        <f>SUMIFS(Offtake_Chain_Zone!R:R,Offtake_Chain_Zone!$C:$C,"SOUTH-1")</f>
      </c>
      <c r="F7" s="4">
        <f>E7/E$11</f>
      </c>
      <c r="G7" s="5">
        <f>AVERAGE(SUMIFS(Offtake_Chain_Zone!O:O,Offtake_Chain_Zone!$C:$C,"SOUTH-1"),SUMIFS(Offtake_Chain_Zone!P:P,Offtake_Chain_Zone!$C:$C,"SOUTH-1"),SUMIFS(Offtake_Chain_Zone!Q:Q,Offtake_Chain_Zone!$C:$C,"SOUTH-1"))</f>
      </c>
      <c r="H7" s="2">
        <f>SUMIFS(Offtake_Chain_Zone!R:R,Offtake_Chain_Zone!$C:$C,"SOUTH-1")/AVERAGE(SUMIFS(Offtake_Chain_Zone!O:O,Offtake_Chain_Zone!$C:$C,"SOUTH-1"),SUMIFS(Offtake_Chain_Zone!P:P,Offtake_Chain_Zone!$C:$C,"SOUTH-1"),SUMIFS(Offtake_Chain_Zone!Q:Q,Offtake_Chain_Zone!$C:$C,"SOUTH-1"))-1</f>
      </c>
      <c r="I7" s="2">
        <f>SUMIFS(Offtake_Chain_Zone!R:R,Offtake_Chain_Zone!$C:$C,"SOUTH-1")/SUMIFS(Offtake_Chain_Zone!Q:Q,Offtake_Chain_Zone!$C:$C,"SOUTH-1")-1</f>
      </c>
      <c r="J7" s="2">
        <f>SUMIFS(Offtake_Chain_Zone!R:R,Offtake_Chain_Zone!$C:$C,"SOUTH-1")/SUMIFS(Offtake_Chain_Zone!F:F,Offtake_Chain_Zone!$C:$C,"SOUTH-1")-1</f>
      </c>
      <c r="K7" s="1">
        <f>(SUMIFS(Offtake_Chain_Zone!D:D,Offtake_Chain_Zone!$C:$C,"SOUTH-1")+SUMIFS(Offtake_Chain_Zone!E:E,Offtake_Chain_Zone!$C:$C,"SOUTH-1")+SUMIFS(Offtake_Chain_Zone!F:F,Offtake_Chain_Zone!$C:$C,"SOUTH-1"))</f>
      </c>
      <c r="L7" s="1">
        <f>(SUMIFS(Offtake_Chain_Zone!P:P,Offtake_Chain_Zone!$C:$C,"SOUTH-1")+SUMIFS(Offtake_Chain_Zone!Q:Q,Offtake_Chain_Zone!$C:$C,"SOUTH-1")+SUMIFS(Offtake_Chain_Zone!R:R,Offtake_Chain_Zone!$C:$C,"SOUTH-1"))</f>
      </c>
      <c r="M7" s="2">
        <f>(SUMIFS(Offtake_Chain_Zone!P:P,Offtake_Chain_Zone!$C:$C,"SOUTH-1")+SUMIFS(Offtake_Chain_Zone!Q:Q,Offtake_Chain_Zone!$C:$C,"SOUTH-1")+SUMIFS(Offtake_Chain_Zone!R:R,Offtake_Chain_Zone!$C:$C,"SOUTH-1"))/(SUMIFS(Offtake_Chain_Zone!D:D,Offtake_Chain_Zone!$C:$C,"SOUTH-1")+SUMIFS(Offtake_Chain_Zone!E:E,Offtake_Chain_Zone!$C:$C,"SOUTH-1")+SUMIFS(Offtake_Chain_Zone!F:F,Offtake_Chain_Zone!$C:$C,"SOUTH-1"))-1</f>
      </c>
    </row>
    <row r="8">
      <c r="A8" t="str">
        <v>SOUTH-2</v>
      </c>
      <c r="B8" s="1">
        <f>SUMIFS(Offtake_Chain_Zone!F:F,Offtake_Chain_Zone!$C:$C,"SOUTH-2")</f>
      </c>
      <c r="C8" s="1">
        <f>SUMIFS(Offtake_Chain_Zone!P:P,Offtake_Chain_Zone!$C:$C,"SOUTH-2")</f>
      </c>
      <c r="D8" s="1">
        <f>SUMIFS(Offtake_Chain_Zone!Q:Q,Offtake_Chain_Zone!$C:$C,"SOUTH-2")</f>
      </c>
      <c r="E8" s="1">
        <f>SUMIFS(Offtake_Chain_Zone!R:R,Offtake_Chain_Zone!$C:$C,"SOUTH-2")</f>
      </c>
      <c r="F8" s="4">
        <f>E8/E$11</f>
      </c>
      <c r="G8" s="5">
        <f>AVERAGE(SUMIFS(Offtake_Chain_Zone!O:O,Offtake_Chain_Zone!$C:$C,"SOUTH-2"),SUMIFS(Offtake_Chain_Zone!P:P,Offtake_Chain_Zone!$C:$C,"SOUTH-2"),SUMIFS(Offtake_Chain_Zone!Q:Q,Offtake_Chain_Zone!$C:$C,"SOUTH-2"))</f>
      </c>
      <c r="H8" s="2">
        <f>SUMIFS(Offtake_Chain_Zone!R:R,Offtake_Chain_Zone!$C:$C,"SOUTH-2")/AVERAGE(SUMIFS(Offtake_Chain_Zone!O:O,Offtake_Chain_Zone!$C:$C,"SOUTH-2"),SUMIFS(Offtake_Chain_Zone!P:P,Offtake_Chain_Zone!$C:$C,"SOUTH-2"),SUMIFS(Offtake_Chain_Zone!Q:Q,Offtake_Chain_Zone!$C:$C,"SOUTH-2"))-1</f>
      </c>
      <c r="I8" s="2">
        <f>SUMIFS(Offtake_Chain_Zone!R:R,Offtake_Chain_Zone!$C:$C,"SOUTH-2")/SUMIFS(Offtake_Chain_Zone!Q:Q,Offtake_Chain_Zone!$C:$C,"SOUTH-2")-1</f>
      </c>
      <c r="J8" s="2">
        <f>SUMIFS(Offtake_Chain_Zone!R:R,Offtake_Chain_Zone!$C:$C,"SOUTH-2")/SUMIFS(Offtake_Chain_Zone!F:F,Offtake_Chain_Zone!$C:$C,"SOUTH-2")-1</f>
      </c>
      <c r="K8" s="1">
        <f>(SUMIFS(Offtake_Chain_Zone!D:D,Offtake_Chain_Zone!$C:$C,"SOUTH-2")+SUMIFS(Offtake_Chain_Zone!E:E,Offtake_Chain_Zone!$C:$C,"SOUTH-2")+SUMIFS(Offtake_Chain_Zone!F:F,Offtake_Chain_Zone!$C:$C,"SOUTH-2"))</f>
      </c>
      <c r="L8" s="1">
        <f>(SUMIFS(Offtake_Chain_Zone!P:P,Offtake_Chain_Zone!$C:$C,"SOUTH-2")+SUMIFS(Offtake_Chain_Zone!Q:Q,Offtake_Chain_Zone!$C:$C,"SOUTH-2")+SUMIFS(Offtake_Chain_Zone!R:R,Offtake_Chain_Zone!$C:$C,"SOUTH-2"))</f>
      </c>
      <c r="M8" s="2">
        <f>(SUMIFS(Offtake_Chain_Zone!P:P,Offtake_Chain_Zone!$C:$C,"SOUTH-2")+SUMIFS(Offtake_Chain_Zone!Q:Q,Offtake_Chain_Zone!$C:$C,"SOUTH-2")+SUMIFS(Offtake_Chain_Zone!R:R,Offtake_Chain_Zone!$C:$C,"SOUTH-2"))/(SUMIFS(Offtake_Chain_Zone!D:D,Offtake_Chain_Zone!$C:$C,"SOUTH-2")+SUMIFS(Offtake_Chain_Zone!E:E,Offtake_Chain_Zone!$C:$C,"SOUTH-2")+SUMIFS(Offtake_Chain_Zone!F:F,Offtake_Chain_Zone!$C:$C,"SOUTH-2"))-1</f>
      </c>
    </row>
    <row r="9">
      <c r="A9" t="str">
        <v>WEST</v>
      </c>
      <c r="B9" s="1">
        <f>SUMIFS(Offtake_Chain_Zone!F:F,Offtake_Chain_Zone!$C:$C,"WEST")</f>
      </c>
      <c r="C9" s="1">
        <f>SUMIFS(Offtake_Chain_Zone!P:P,Offtake_Chain_Zone!$C:$C,"WEST")</f>
      </c>
      <c r="D9" s="1">
        <f>SUMIFS(Offtake_Chain_Zone!Q:Q,Offtake_Chain_Zone!$C:$C,"WEST")</f>
      </c>
      <c r="E9" s="1">
        <f>SUMIFS(Offtake_Chain_Zone!R:R,Offtake_Chain_Zone!$C:$C,"WEST")</f>
      </c>
      <c r="F9" s="4">
        <f>E9/E$11</f>
      </c>
      <c r="G9" s="5">
        <f>AVERAGE(SUMIFS(Offtake_Chain_Zone!O:O,Offtake_Chain_Zone!$C:$C,"WEST"),SUMIFS(Offtake_Chain_Zone!P:P,Offtake_Chain_Zone!$C:$C,"WEST"),SUMIFS(Offtake_Chain_Zone!Q:Q,Offtake_Chain_Zone!$C:$C,"WEST"))</f>
      </c>
      <c r="H9" s="2">
        <f>SUMIFS(Offtake_Chain_Zone!R:R,Offtake_Chain_Zone!$C:$C,"WEST")/AVERAGE(SUMIFS(Offtake_Chain_Zone!O:O,Offtake_Chain_Zone!$C:$C,"WEST"),SUMIFS(Offtake_Chain_Zone!P:P,Offtake_Chain_Zone!$C:$C,"WEST"),SUMIFS(Offtake_Chain_Zone!Q:Q,Offtake_Chain_Zone!$C:$C,"WEST"))-1</f>
      </c>
      <c r="I9" s="2">
        <f>SUMIFS(Offtake_Chain_Zone!R:R,Offtake_Chain_Zone!$C:$C,"WEST")/SUMIFS(Offtake_Chain_Zone!Q:Q,Offtake_Chain_Zone!$C:$C,"WEST")-1</f>
      </c>
      <c r="J9" s="2">
        <f>SUMIFS(Offtake_Chain_Zone!R:R,Offtake_Chain_Zone!$C:$C,"WEST")/SUMIFS(Offtake_Chain_Zone!F:F,Offtake_Chain_Zone!$C:$C,"WEST")-1</f>
      </c>
      <c r="K9" s="1">
        <f>(SUMIFS(Offtake_Chain_Zone!D:D,Offtake_Chain_Zone!$C:$C,"WEST")+SUMIFS(Offtake_Chain_Zone!E:E,Offtake_Chain_Zone!$C:$C,"WEST")+SUMIFS(Offtake_Chain_Zone!F:F,Offtake_Chain_Zone!$C:$C,"WEST"))</f>
      </c>
      <c r="L9" s="1">
        <f>(SUMIFS(Offtake_Chain_Zone!P:P,Offtake_Chain_Zone!$C:$C,"WEST")+SUMIFS(Offtake_Chain_Zone!Q:Q,Offtake_Chain_Zone!$C:$C,"WEST")+SUMIFS(Offtake_Chain_Zone!R:R,Offtake_Chain_Zone!$C:$C,"WEST"))</f>
      </c>
      <c r="M9" s="2">
        <f>(SUMIFS(Offtake_Chain_Zone!P:P,Offtake_Chain_Zone!$C:$C,"WEST")+SUMIFS(Offtake_Chain_Zone!Q:Q,Offtake_Chain_Zone!$C:$C,"WEST")+SUMIFS(Offtake_Chain_Zone!R:R,Offtake_Chain_Zone!$C:$C,"WEST"))/(SUMIFS(Offtake_Chain_Zone!D:D,Offtake_Chain_Zone!$C:$C,"WEST")+SUMIFS(Offtake_Chain_Zone!E:E,Offtake_Chain_Zone!$C:$C,"WEST")+SUMIFS(Offtake_Chain_Zone!F:F,Offtake_Chain_Zone!$C:$C,"WEST"))-1</f>
      </c>
    </row>
    <row r="10">
      <c r="A10" t="str">
        <v>PAN INDIA (EB2B/FSN)</v>
      </c>
      <c r="B10" s="1">
        <f>SUMIF(Offtake_Chain_Zone!$A:$A,"EB2B",Offtake_Chain_Zone!F:F)</f>
      </c>
      <c r="C10" s="1">
        <f>SUMIF(Offtake_Chain_Zone!$A:$A,"EB2B",Offtake_Chain_Zone!P:P)</f>
      </c>
      <c r="D10" s="1">
        <f>SUMIF(Offtake_Chain_Zone!$A:$A,"EB2B",Offtake_Chain_Zone!Q:Q)</f>
      </c>
      <c r="E10" s="1">
        <f>SUMIF(Offtake_Chain_Zone!$A:$A,"EB2B",Offtake_Chain_Zone!R:R)</f>
      </c>
      <c r="F10" s="4">
        <f>E10/E$11</f>
      </c>
      <c r="G10" s="5">
        <f>AVERAGE(SUMIF(Offtake_Chain_Zone!$A:$A,"EB2B",Offtake_Chain_Zone!O:O),SUMIF(Offtake_Chain_Zone!$A:$A,"EB2B",Offtake_Chain_Zone!P:P),SUMIF(Offtake_Chain_Zone!$A:$A,"EB2B",Offtake_Chain_Zone!Q:Q))</f>
      </c>
      <c r="H10" s="2">
        <f>SUMIF(Offtake_Chain_Zone!$A:$A,"EB2B",Offtake_Chain_Zone!R:R)/AVERAGE(SUMIF(Offtake_Chain_Zone!$A:$A,"EB2B",Offtake_Chain_Zone!O:O),SUMIF(Offtake_Chain_Zone!$A:$A,"EB2B",Offtake_Chain_Zone!P:P),SUMIF(Offtake_Chain_Zone!$A:$A,"EB2B",Offtake_Chain_Zone!Q:Q))-1</f>
      </c>
      <c r="I10" s="2">
        <f>SUMIF(Offtake_Chain_Zone!$A:$A,"EB2B",Offtake_Chain_Zone!R:R)/SUMIF(Offtake_Chain_Zone!$A:$A,"EB2B",Offtake_Chain_Zone!Q:Q)-1</f>
      </c>
      <c r="J10" s="2">
        <f>SUMIF(Offtake_Chain_Zone!$A:$A,"EB2B",Offtake_Chain_Zone!R:R)/SUMIF(Offtake_Chain_Zone!$A:$A,"EB2B",Offtake_Chain_Zone!F:F)-1</f>
      </c>
      <c r="K10" s="1">
        <f>(SUMIF(Offtake_Chain_Zone!$A:$A,"EB2B",Offtake_Chain_Zone!D:D)+SUMIF(Offtake_Chain_Zone!$A:$A,"EB2B",Offtake_Chain_Zone!E:E)+SUMIF(Offtake_Chain_Zone!$A:$A,"EB2B",Offtake_Chain_Zone!F:F))</f>
      </c>
      <c r="L10" s="1">
        <f>(SUMIF(Offtake_Chain_Zone!$A:$A,"EB2B",Offtake_Chain_Zone!P:P)+SUMIF(Offtake_Chain_Zone!$A:$A,"EB2B",Offtake_Chain_Zone!Q:Q)+SUMIF(Offtake_Chain_Zone!$A:$A,"EB2B",Offtake_Chain_Zone!R:R))</f>
      </c>
      <c r="M10" s="2">
        <f>(SUMIF(Offtake_Chain_Zone!$A:$A,"EB2B",Offtake_Chain_Zone!P:P)+SUMIF(Offtake_Chain_Zone!$A:$A,"EB2B",Offtake_Chain_Zone!Q:Q)+SUMIF(Offtake_Chain_Zone!$A:$A,"EB2B",Offtake_Chain_Zone!R:R))/(SUMIF(Offtake_Chain_Zone!$A:$A,"EB2B",Offtake_Chain_Zone!D:D)+SUMIF(Offtake_Chain_Zone!$A:$A,"EB2B",Offtake_Chain_Zone!E:E)+SUMIF(Offtake_Chain_Zone!$A:$A,"EB2B",Offtake_Chain_Zone!F:F))-1</f>
      </c>
    </row>
    <row r="11">
      <c r="A11" t="str">
        <v>TOTAL</v>
      </c>
      <c r="B11" s="1">
        <f>SUM(Offtake_Chain_Zone!F2:F200)</f>
      </c>
      <c r="C11" s="1">
        <f>SUM(Offtake_Chain_Zone!P2:P200)</f>
      </c>
      <c r="D11" s="1">
        <f>SUM(Offtake_Chain_Zone!Q2:Q200)</f>
      </c>
      <c r="E11" s="1">
        <f>SUM(Offtake_Chain_Zone!R2:R200)</f>
      </c>
      <c r="F11" s="4">
        <f>E11/E$11</f>
      </c>
      <c r="G11" s="5">
        <f>AVERAGE(SUM(Offtake_Chain_Zone!O2:O200),SUM(Offtake_Chain_Zone!P2:P200),SUM(Offtake_Chain_Zone!Q2:Q200))</f>
      </c>
      <c r="H11" s="2">
        <f>SUM(Offtake_Chain_Zone!R2:R200)/AVERAGE(SUM(Offtake_Chain_Zone!O2:O200),SUM(Offtake_Chain_Zone!P2:P200),SUM(Offtake_Chain_Zone!Q2:Q200))-1</f>
      </c>
      <c r="I11" s="2">
        <f>SUM(Offtake_Chain_Zone!R2:R200)/SUM(Offtake_Chain_Zone!Q2:Q200)-1</f>
      </c>
      <c r="J11" s="2">
        <f>SUM(Offtake_Chain_Zone!R2:R200)/SUM(Offtake_Chain_Zone!F2:F200)-1</f>
      </c>
      <c r="K11" s="1">
        <f>(SUM(Offtake_Chain_Zone!D2:D200)+SUM(Offtake_Chain_Zone!E2:E200)+SUM(Offtake_Chain_Zone!F2:F200))</f>
      </c>
      <c r="L11" s="1">
        <f>(SUM(Offtake_Chain_Zone!P2:P200)+SUM(Offtake_Chain_Zone!Q2:Q200)+SUM(Offtake_Chain_Zone!R2:R200))</f>
      </c>
      <c r="M11" s="2">
        <f>(SUM(Offtake_Chain_Zone!P2:P200)+SUM(Offtake_Chain_Zone!Q2:Q200)+SUM(Offtake_Chain_Zone!R2:R200))/(SUM(Offtake_Chain_Zone!D2:D200)+SUM(Offtake_Chain_Zone!E2:E200)+SUM(Offtake_Chain_Zone!F2:F200))-1</f>
      </c>
    </row>
  </sheetData>
  <ignoredErrors>
    <ignoredError numberStoredAsText="1" sqref="A1:O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cols>
    <col min="1" max="1" width="22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</cols>
  <sheetData>
    <row r="1">
      <c r="A1" t="str">
        <v>CHAIN PERFORMANCE SUMMARY — Jun'26 &amp; Q1 FY27 (all channels)</v>
      </c>
    </row>
    <row r="2">
      <c r="A2" t="str">
        <v>All values ₹ Lacs NSV. Live formulas — refresh with raw-sheet edits. L3M = Mar–May'26 avg; GOLY = vs same month LY; Q1 = Apr–Jun.</v>
      </c>
    </row>
    <row r="4">
      <c r="A4" t="str">
        <v/>
      </c>
      <c r="B4" t="str">
        <v>Jun-25</v>
      </c>
      <c r="C4" t="str">
        <v>Apr-26</v>
      </c>
      <c r="D4" t="str">
        <v>May-26</v>
      </c>
      <c r="E4" t="str">
        <v>Jun-26</v>
      </c>
      <c r="F4" t="str">
        <v>Share % Jun'26</v>
      </c>
      <c r="G4" t="str">
        <v>L3M Avg</v>
      </c>
      <c r="H4" t="str">
        <v>GO L3M %</v>
      </c>
      <c r="I4" t="str">
        <v>MoM %</v>
      </c>
      <c r="J4" t="str">
        <v>GOLY %</v>
      </c>
      <c r="K4" t="str">
        <v>Q1 FY26</v>
      </c>
      <c r="L4" t="str">
        <v>Q1 FY27</v>
      </c>
      <c r="M4" t="str">
        <v>Q1 Growth %</v>
      </c>
    </row>
    <row r="5">
      <c r="A5" t="str">
        <v>Dmart</v>
      </c>
      <c r="B5" s="1">
        <f>SUMIF(Offtake_Chain_Zone!$B:$B,"Dmart",Offtake_Chain_Zone!F:F)</f>
      </c>
      <c r="C5" s="1">
        <f>SUMIF(Offtake_Chain_Zone!$B:$B,"Dmart",Offtake_Chain_Zone!P:P)</f>
      </c>
      <c r="D5" s="1">
        <f>SUMIF(Offtake_Chain_Zone!$B:$B,"Dmart",Offtake_Chain_Zone!Q:Q)</f>
      </c>
      <c r="E5" s="1">
        <f>SUMIF(Offtake_Chain_Zone!$B:$B,"Dmart",Offtake_Chain_Zone!R:R)</f>
      </c>
      <c r="F5" s="4">
        <f>E5/E$31</f>
      </c>
      <c r="G5" s="5">
        <f>AVERAGE(SUMIF(Offtake_Chain_Zone!$B:$B,"Dmart",Offtake_Chain_Zone!O:O),SUMIF(Offtake_Chain_Zone!$B:$B,"Dmart",Offtake_Chain_Zone!P:P),SUMIF(Offtake_Chain_Zone!$B:$B,"Dmart",Offtake_Chain_Zone!Q:Q))</f>
      </c>
      <c r="H5" s="2">
        <f>SUMIF(Offtake_Chain_Zone!$B:$B,"Dmart",Offtake_Chain_Zone!R:R)/AVERAGE(SUMIF(Offtake_Chain_Zone!$B:$B,"Dmart",Offtake_Chain_Zone!O:O),SUMIF(Offtake_Chain_Zone!$B:$B,"Dmart",Offtake_Chain_Zone!P:P),SUMIF(Offtake_Chain_Zone!$B:$B,"Dmart",Offtake_Chain_Zone!Q:Q))-1</f>
      </c>
      <c r="I5" s="2">
        <f>SUMIF(Offtake_Chain_Zone!$B:$B,"Dmart",Offtake_Chain_Zone!R:R)/SUMIF(Offtake_Chain_Zone!$B:$B,"Dmart",Offtake_Chain_Zone!Q:Q)-1</f>
      </c>
      <c r="J5" s="2">
        <f>SUMIF(Offtake_Chain_Zone!$B:$B,"Dmart",Offtake_Chain_Zone!R:R)/SUMIF(Offtake_Chain_Zone!$B:$B,"Dmart",Offtake_Chain_Zone!F:F)-1</f>
      </c>
      <c r="K5" s="1">
        <f>(SUMIF(Offtake_Chain_Zone!$B:$B,"Dmart",Offtake_Chain_Zone!D:D)+SUMIF(Offtake_Chain_Zone!$B:$B,"Dmart",Offtake_Chain_Zone!E:E)+SUMIF(Offtake_Chain_Zone!$B:$B,"Dmart",Offtake_Chain_Zone!F:F))</f>
      </c>
      <c r="L5" s="1">
        <f>(SUMIF(Offtake_Chain_Zone!$B:$B,"Dmart",Offtake_Chain_Zone!P:P)+SUMIF(Offtake_Chain_Zone!$B:$B,"Dmart",Offtake_Chain_Zone!Q:Q)+SUMIF(Offtake_Chain_Zone!$B:$B,"Dmart",Offtake_Chain_Zone!R:R))</f>
      </c>
      <c r="M5" s="2">
        <f>(SUMIF(Offtake_Chain_Zone!$B:$B,"Dmart",Offtake_Chain_Zone!P:P)+SUMIF(Offtake_Chain_Zone!$B:$B,"Dmart",Offtake_Chain_Zone!Q:Q)+SUMIF(Offtake_Chain_Zone!$B:$B,"Dmart",Offtake_Chain_Zone!R:R))/(SUMIF(Offtake_Chain_Zone!$B:$B,"Dmart",Offtake_Chain_Zone!D:D)+SUMIF(Offtake_Chain_Zone!$B:$B,"Dmart",Offtake_Chain_Zone!E:E)+SUMIF(Offtake_Chain_Zone!$B:$B,"Dmart",Offtake_Chain_Zone!F:F))-1</f>
      </c>
    </row>
    <row r="6">
      <c r="A6" t="str">
        <v>Reliance</v>
      </c>
      <c r="B6" s="1">
        <f>SUMIF(Offtake_Chain_Zone!$B:$B,"Reliance",Offtake_Chain_Zone!F:F)</f>
      </c>
      <c r="C6" s="1">
        <f>SUMIF(Offtake_Chain_Zone!$B:$B,"Reliance",Offtake_Chain_Zone!P:P)</f>
      </c>
      <c r="D6" s="1">
        <f>SUMIF(Offtake_Chain_Zone!$B:$B,"Reliance",Offtake_Chain_Zone!Q:Q)</f>
      </c>
      <c r="E6" s="1">
        <f>SUMIF(Offtake_Chain_Zone!$B:$B,"Reliance",Offtake_Chain_Zone!R:R)</f>
      </c>
      <c r="F6" s="4">
        <f>E6/E$31</f>
      </c>
      <c r="G6" s="5">
        <f>AVERAGE(SUMIF(Offtake_Chain_Zone!$B:$B,"Reliance",Offtake_Chain_Zone!O:O),SUMIF(Offtake_Chain_Zone!$B:$B,"Reliance",Offtake_Chain_Zone!P:P),SUMIF(Offtake_Chain_Zone!$B:$B,"Reliance",Offtake_Chain_Zone!Q:Q))</f>
      </c>
      <c r="H6" s="2">
        <f>SUMIF(Offtake_Chain_Zone!$B:$B,"Reliance",Offtake_Chain_Zone!R:R)/AVERAGE(SUMIF(Offtake_Chain_Zone!$B:$B,"Reliance",Offtake_Chain_Zone!O:O),SUMIF(Offtake_Chain_Zone!$B:$B,"Reliance",Offtake_Chain_Zone!P:P),SUMIF(Offtake_Chain_Zone!$B:$B,"Reliance",Offtake_Chain_Zone!Q:Q))-1</f>
      </c>
      <c r="I6" s="2">
        <f>SUMIF(Offtake_Chain_Zone!$B:$B,"Reliance",Offtake_Chain_Zone!R:R)/SUMIF(Offtake_Chain_Zone!$B:$B,"Reliance",Offtake_Chain_Zone!Q:Q)-1</f>
      </c>
      <c r="J6" s="2">
        <f>SUMIF(Offtake_Chain_Zone!$B:$B,"Reliance",Offtake_Chain_Zone!R:R)/SUMIF(Offtake_Chain_Zone!$B:$B,"Reliance",Offtake_Chain_Zone!F:F)-1</f>
      </c>
      <c r="K6" s="1">
        <f>(SUMIF(Offtake_Chain_Zone!$B:$B,"Reliance",Offtake_Chain_Zone!D:D)+SUMIF(Offtake_Chain_Zone!$B:$B,"Reliance",Offtake_Chain_Zone!E:E)+SUMIF(Offtake_Chain_Zone!$B:$B,"Reliance",Offtake_Chain_Zone!F:F))</f>
      </c>
      <c r="L6" s="1">
        <f>(SUMIF(Offtake_Chain_Zone!$B:$B,"Reliance",Offtake_Chain_Zone!P:P)+SUMIF(Offtake_Chain_Zone!$B:$B,"Reliance",Offtake_Chain_Zone!Q:Q)+SUMIF(Offtake_Chain_Zone!$B:$B,"Reliance",Offtake_Chain_Zone!R:R))</f>
      </c>
      <c r="M6" s="2">
        <f>(SUMIF(Offtake_Chain_Zone!$B:$B,"Reliance",Offtake_Chain_Zone!P:P)+SUMIF(Offtake_Chain_Zone!$B:$B,"Reliance",Offtake_Chain_Zone!Q:Q)+SUMIF(Offtake_Chain_Zone!$B:$B,"Reliance",Offtake_Chain_Zone!R:R))/(SUMIF(Offtake_Chain_Zone!$B:$B,"Reliance",Offtake_Chain_Zone!D:D)+SUMIF(Offtake_Chain_Zone!$B:$B,"Reliance",Offtake_Chain_Zone!E:E)+SUMIF(Offtake_Chain_Zone!$B:$B,"Reliance",Offtake_Chain_Zone!F:F))-1</f>
      </c>
    </row>
    <row r="7">
      <c r="A7" t="str">
        <v>Apollo</v>
      </c>
      <c r="B7" s="1">
        <f>SUMIF(Offtake_Chain_Zone!$B:$B,"Apollo",Offtake_Chain_Zone!F:F)</f>
      </c>
      <c r="C7" s="1">
        <f>SUMIF(Offtake_Chain_Zone!$B:$B,"Apollo",Offtake_Chain_Zone!P:P)</f>
      </c>
      <c r="D7" s="1">
        <f>SUMIF(Offtake_Chain_Zone!$B:$B,"Apollo",Offtake_Chain_Zone!Q:Q)</f>
      </c>
      <c r="E7" s="1">
        <f>SUMIF(Offtake_Chain_Zone!$B:$B,"Apollo",Offtake_Chain_Zone!R:R)</f>
      </c>
      <c r="F7" s="4">
        <f>E7/E$31</f>
      </c>
      <c r="G7" s="5">
        <f>AVERAGE(SUMIF(Offtake_Chain_Zone!$B:$B,"Apollo",Offtake_Chain_Zone!O:O),SUMIF(Offtake_Chain_Zone!$B:$B,"Apollo",Offtake_Chain_Zone!P:P),SUMIF(Offtake_Chain_Zone!$B:$B,"Apollo",Offtake_Chain_Zone!Q:Q))</f>
      </c>
      <c r="H7" s="2">
        <f>SUMIF(Offtake_Chain_Zone!$B:$B,"Apollo",Offtake_Chain_Zone!R:R)/AVERAGE(SUMIF(Offtake_Chain_Zone!$B:$B,"Apollo",Offtake_Chain_Zone!O:O),SUMIF(Offtake_Chain_Zone!$B:$B,"Apollo",Offtake_Chain_Zone!P:P),SUMIF(Offtake_Chain_Zone!$B:$B,"Apollo",Offtake_Chain_Zone!Q:Q))-1</f>
      </c>
      <c r="I7" s="2">
        <f>SUMIF(Offtake_Chain_Zone!$B:$B,"Apollo",Offtake_Chain_Zone!R:R)/SUMIF(Offtake_Chain_Zone!$B:$B,"Apollo",Offtake_Chain_Zone!Q:Q)-1</f>
      </c>
      <c r="J7" s="2">
        <f>SUMIF(Offtake_Chain_Zone!$B:$B,"Apollo",Offtake_Chain_Zone!R:R)/SUMIF(Offtake_Chain_Zone!$B:$B,"Apollo",Offtake_Chain_Zone!F:F)-1</f>
      </c>
      <c r="K7" s="1">
        <f>(SUMIF(Offtake_Chain_Zone!$B:$B,"Apollo",Offtake_Chain_Zone!D:D)+SUMIF(Offtake_Chain_Zone!$B:$B,"Apollo",Offtake_Chain_Zone!E:E)+SUMIF(Offtake_Chain_Zone!$B:$B,"Apollo",Offtake_Chain_Zone!F:F))</f>
      </c>
      <c r="L7" s="1">
        <f>(SUMIF(Offtake_Chain_Zone!$B:$B,"Apollo",Offtake_Chain_Zone!P:P)+SUMIF(Offtake_Chain_Zone!$B:$B,"Apollo",Offtake_Chain_Zone!Q:Q)+SUMIF(Offtake_Chain_Zone!$B:$B,"Apollo",Offtake_Chain_Zone!R:R))</f>
      </c>
      <c r="M7" s="2">
        <f>(SUMIF(Offtake_Chain_Zone!$B:$B,"Apollo",Offtake_Chain_Zone!P:P)+SUMIF(Offtake_Chain_Zone!$B:$B,"Apollo",Offtake_Chain_Zone!Q:Q)+SUMIF(Offtake_Chain_Zone!$B:$B,"Apollo",Offtake_Chain_Zone!R:R))/(SUMIF(Offtake_Chain_Zone!$B:$B,"Apollo",Offtake_Chain_Zone!D:D)+SUMIF(Offtake_Chain_Zone!$B:$B,"Apollo",Offtake_Chain_Zone!E:E)+SUMIF(Offtake_Chain_Zone!$B:$B,"Apollo",Offtake_Chain_Zone!F:F))-1</f>
      </c>
    </row>
    <row r="8">
      <c r="A8" t="str">
        <v>Fsn</v>
      </c>
      <c r="B8" s="1">
        <f>SUMIF(Offtake_Chain_Zone!$B:$B,"Fsn",Offtake_Chain_Zone!F:F)</f>
      </c>
      <c r="C8" s="1">
        <f>SUMIF(Offtake_Chain_Zone!$B:$B,"Fsn",Offtake_Chain_Zone!P:P)</f>
      </c>
      <c r="D8" s="1">
        <f>SUMIF(Offtake_Chain_Zone!$B:$B,"Fsn",Offtake_Chain_Zone!Q:Q)</f>
      </c>
      <c r="E8" s="1">
        <f>SUMIF(Offtake_Chain_Zone!$B:$B,"Fsn",Offtake_Chain_Zone!R:R)</f>
      </c>
      <c r="F8" s="4">
        <f>E8/E$31</f>
      </c>
      <c r="G8" s="5">
        <f>AVERAGE(SUMIF(Offtake_Chain_Zone!$B:$B,"Fsn",Offtake_Chain_Zone!O:O),SUMIF(Offtake_Chain_Zone!$B:$B,"Fsn",Offtake_Chain_Zone!P:P),SUMIF(Offtake_Chain_Zone!$B:$B,"Fsn",Offtake_Chain_Zone!Q:Q))</f>
      </c>
      <c r="H8" s="2">
        <f>SUMIF(Offtake_Chain_Zone!$B:$B,"Fsn",Offtake_Chain_Zone!R:R)/AVERAGE(SUMIF(Offtake_Chain_Zone!$B:$B,"Fsn",Offtake_Chain_Zone!O:O),SUMIF(Offtake_Chain_Zone!$B:$B,"Fsn",Offtake_Chain_Zone!P:P),SUMIF(Offtake_Chain_Zone!$B:$B,"Fsn",Offtake_Chain_Zone!Q:Q))-1</f>
      </c>
      <c r="I8" s="2">
        <f>SUMIF(Offtake_Chain_Zone!$B:$B,"Fsn",Offtake_Chain_Zone!R:R)/SUMIF(Offtake_Chain_Zone!$B:$B,"Fsn",Offtake_Chain_Zone!Q:Q)-1</f>
      </c>
      <c r="J8" s="2">
        <f>SUMIF(Offtake_Chain_Zone!$B:$B,"Fsn",Offtake_Chain_Zone!R:R)/SUMIF(Offtake_Chain_Zone!$B:$B,"Fsn",Offtake_Chain_Zone!F:F)-1</f>
      </c>
      <c r="K8" s="1">
        <f>(SUMIF(Offtake_Chain_Zone!$B:$B,"Fsn",Offtake_Chain_Zone!D:D)+SUMIF(Offtake_Chain_Zone!$B:$B,"Fsn",Offtake_Chain_Zone!E:E)+SUMIF(Offtake_Chain_Zone!$B:$B,"Fsn",Offtake_Chain_Zone!F:F))</f>
      </c>
      <c r="L8" s="1">
        <f>(SUMIF(Offtake_Chain_Zone!$B:$B,"Fsn",Offtake_Chain_Zone!P:P)+SUMIF(Offtake_Chain_Zone!$B:$B,"Fsn",Offtake_Chain_Zone!Q:Q)+SUMIF(Offtake_Chain_Zone!$B:$B,"Fsn",Offtake_Chain_Zone!R:R))</f>
      </c>
      <c r="M8" s="2">
        <f>(SUMIF(Offtake_Chain_Zone!$B:$B,"Fsn",Offtake_Chain_Zone!P:P)+SUMIF(Offtake_Chain_Zone!$B:$B,"Fsn",Offtake_Chain_Zone!Q:Q)+SUMIF(Offtake_Chain_Zone!$B:$B,"Fsn",Offtake_Chain_Zone!R:R))/(SUMIF(Offtake_Chain_Zone!$B:$B,"Fsn",Offtake_Chain_Zone!D:D)+SUMIF(Offtake_Chain_Zone!$B:$B,"Fsn",Offtake_Chain_Zone!E:E)+SUMIF(Offtake_Chain_Zone!$B:$B,"Fsn",Offtake_Chain_Zone!F:F))-1</f>
      </c>
    </row>
    <row r="9">
      <c r="A9" t="str">
        <v>Lulu</v>
      </c>
      <c r="B9" s="1">
        <f>SUMIF(Offtake_Chain_Zone!$B:$B,"Lulu",Offtake_Chain_Zone!F:F)</f>
      </c>
      <c r="C9" s="1">
        <f>SUMIF(Offtake_Chain_Zone!$B:$B,"Lulu",Offtake_Chain_Zone!P:P)</f>
      </c>
      <c r="D9" s="1">
        <f>SUMIF(Offtake_Chain_Zone!$B:$B,"Lulu",Offtake_Chain_Zone!Q:Q)</f>
      </c>
      <c r="E9" s="1">
        <f>SUMIF(Offtake_Chain_Zone!$B:$B,"Lulu",Offtake_Chain_Zone!R:R)</f>
      </c>
      <c r="F9" s="4">
        <f>E9/E$31</f>
      </c>
      <c r="G9" s="5">
        <f>AVERAGE(SUMIF(Offtake_Chain_Zone!$B:$B,"Lulu",Offtake_Chain_Zone!O:O),SUMIF(Offtake_Chain_Zone!$B:$B,"Lulu",Offtake_Chain_Zone!P:P),SUMIF(Offtake_Chain_Zone!$B:$B,"Lulu",Offtake_Chain_Zone!Q:Q))</f>
      </c>
      <c r="H9" s="2">
        <f>SUMIF(Offtake_Chain_Zone!$B:$B,"Lulu",Offtake_Chain_Zone!R:R)/AVERAGE(SUMIF(Offtake_Chain_Zone!$B:$B,"Lulu",Offtake_Chain_Zone!O:O),SUMIF(Offtake_Chain_Zone!$B:$B,"Lulu",Offtake_Chain_Zone!P:P),SUMIF(Offtake_Chain_Zone!$B:$B,"Lulu",Offtake_Chain_Zone!Q:Q))-1</f>
      </c>
      <c r="I9" s="2">
        <f>SUMIF(Offtake_Chain_Zone!$B:$B,"Lulu",Offtake_Chain_Zone!R:R)/SUMIF(Offtake_Chain_Zone!$B:$B,"Lulu",Offtake_Chain_Zone!Q:Q)-1</f>
      </c>
      <c r="J9" s="2">
        <f>SUMIF(Offtake_Chain_Zone!$B:$B,"Lulu",Offtake_Chain_Zone!R:R)/SUMIF(Offtake_Chain_Zone!$B:$B,"Lulu",Offtake_Chain_Zone!F:F)-1</f>
      </c>
      <c r="K9" s="1">
        <f>(SUMIF(Offtake_Chain_Zone!$B:$B,"Lulu",Offtake_Chain_Zone!D:D)+SUMIF(Offtake_Chain_Zone!$B:$B,"Lulu",Offtake_Chain_Zone!E:E)+SUMIF(Offtake_Chain_Zone!$B:$B,"Lulu",Offtake_Chain_Zone!F:F))</f>
      </c>
      <c r="L9" s="1">
        <f>(SUMIF(Offtake_Chain_Zone!$B:$B,"Lulu",Offtake_Chain_Zone!P:P)+SUMIF(Offtake_Chain_Zone!$B:$B,"Lulu",Offtake_Chain_Zone!Q:Q)+SUMIF(Offtake_Chain_Zone!$B:$B,"Lulu",Offtake_Chain_Zone!R:R))</f>
      </c>
      <c r="M9" s="2">
        <f>(SUMIF(Offtake_Chain_Zone!$B:$B,"Lulu",Offtake_Chain_Zone!P:P)+SUMIF(Offtake_Chain_Zone!$B:$B,"Lulu",Offtake_Chain_Zone!Q:Q)+SUMIF(Offtake_Chain_Zone!$B:$B,"Lulu",Offtake_Chain_Zone!R:R))/(SUMIF(Offtake_Chain_Zone!$B:$B,"Lulu",Offtake_Chain_Zone!D:D)+SUMIF(Offtake_Chain_Zone!$B:$B,"Lulu",Offtake_Chain_Zone!E:E)+SUMIF(Offtake_Chain_Zone!$B:$B,"Lulu",Offtake_Chain_Zone!F:F))-1</f>
      </c>
    </row>
    <row r="10">
      <c r="A10" t="str">
        <v>Wellness Forever</v>
      </c>
      <c r="B10" s="1">
        <f>SUMIF(Offtake_Chain_Zone!$B:$B,"Wellness Forever",Offtake_Chain_Zone!F:F)</f>
      </c>
      <c r="C10" s="1">
        <f>SUMIF(Offtake_Chain_Zone!$B:$B,"Wellness Forever",Offtake_Chain_Zone!P:P)</f>
      </c>
      <c r="D10" s="1">
        <f>SUMIF(Offtake_Chain_Zone!$B:$B,"Wellness Forever",Offtake_Chain_Zone!Q:Q)</f>
      </c>
      <c r="E10" s="1">
        <f>SUMIF(Offtake_Chain_Zone!$B:$B,"Wellness Forever",Offtake_Chain_Zone!R:R)</f>
      </c>
      <c r="F10" s="4">
        <f>E10/E$31</f>
      </c>
      <c r="G10" s="5">
        <f>AVERAGE(SUMIF(Offtake_Chain_Zone!$B:$B,"Wellness Forever",Offtake_Chain_Zone!O:O),SUMIF(Offtake_Chain_Zone!$B:$B,"Wellness Forever",Offtake_Chain_Zone!P:P),SUMIF(Offtake_Chain_Zone!$B:$B,"Wellness Forever",Offtake_Chain_Zone!Q:Q))</f>
      </c>
      <c r="H10" s="2">
        <f>SUMIF(Offtake_Chain_Zone!$B:$B,"Wellness Forever",Offtake_Chain_Zone!R:R)/AVERAGE(SUMIF(Offtake_Chain_Zone!$B:$B,"Wellness Forever",Offtake_Chain_Zone!O:O),SUMIF(Offtake_Chain_Zone!$B:$B,"Wellness Forever",Offtake_Chain_Zone!P:P),SUMIF(Offtake_Chain_Zone!$B:$B,"Wellness Forever",Offtake_Chain_Zone!Q:Q))-1</f>
      </c>
      <c r="I10" s="2">
        <f>SUMIF(Offtake_Chain_Zone!$B:$B,"Wellness Forever",Offtake_Chain_Zone!R:R)/SUMIF(Offtake_Chain_Zone!$B:$B,"Wellness Forever",Offtake_Chain_Zone!Q:Q)-1</f>
      </c>
      <c r="J10" s="2">
        <f>SUMIF(Offtake_Chain_Zone!$B:$B,"Wellness Forever",Offtake_Chain_Zone!R:R)/SUMIF(Offtake_Chain_Zone!$B:$B,"Wellness Forever",Offtake_Chain_Zone!F:F)-1</f>
      </c>
      <c r="K10" s="1">
        <f>(SUMIF(Offtake_Chain_Zone!$B:$B,"Wellness Forever",Offtake_Chain_Zone!D:D)+SUMIF(Offtake_Chain_Zone!$B:$B,"Wellness Forever",Offtake_Chain_Zone!E:E)+SUMIF(Offtake_Chain_Zone!$B:$B,"Wellness Forever",Offtake_Chain_Zone!F:F))</f>
      </c>
      <c r="L10" s="1">
        <f>(SUMIF(Offtake_Chain_Zone!$B:$B,"Wellness Forever",Offtake_Chain_Zone!P:P)+SUMIF(Offtake_Chain_Zone!$B:$B,"Wellness Forever",Offtake_Chain_Zone!Q:Q)+SUMIF(Offtake_Chain_Zone!$B:$B,"Wellness Forever",Offtake_Chain_Zone!R:R))</f>
      </c>
      <c r="M10" s="2">
        <f>(SUMIF(Offtake_Chain_Zone!$B:$B,"Wellness Forever",Offtake_Chain_Zone!P:P)+SUMIF(Offtake_Chain_Zone!$B:$B,"Wellness Forever",Offtake_Chain_Zone!Q:Q)+SUMIF(Offtake_Chain_Zone!$B:$B,"Wellness Forever",Offtake_Chain_Zone!R:R))/(SUMIF(Offtake_Chain_Zone!$B:$B,"Wellness Forever",Offtake_Chain_Zone!D:D)+SUMIF(Offtake_Chain_Zone!$B:$B,"Wellness Forever",Offtake_Chain_Zone!E:E)+SUMIF(Offtake_Chain_Zone!$B:$B,"Wellness Forever",Offtake_Chain_Zone!F:F))-1</f>
      </c>
    </row>
    <row r="11">
      <c r="A11" t="str">
        <v>Metro Cnc</v>
      </c>
      <c r="B11" s="1">
        <f>SUMIF(Offtake_Chain_Zone!$B:$B,"Metro Cnc",Offtake_Chain_Zone!F:F)</f>
      </c>
      <c r="C11" s="1">
        <f>SUMIF(Offtake_Chain_Zone!$B:$B,"Metro Cnc",Offtake_Chain_Zone!P:P)</f>
      </c>
      <c r="D11" s="1">
        <f>SUMIF(Offtake_Chain_Zone!$B:$B,"Metro Cnc",Offtake_Chain_Zone!Q:Q)</f>
      </c>
      <c r="E11" s="1">
        <f>SUMIF(Offtake_Chain_Zone!$B:$B,"Metro Cnc",Offtake_Chain_Zone!R:R)</f>
      </c>
      <c r="F11" s="4">
        <f>E11/E$31</f>
      </c>
      <c r="G11" s="5">
        <f>AVERAGE(SUMIF(Offtake_Chain_Zone!$B:$B,"Metro Cnc",Offtake_Chain_Zone!O:O),SUMIF(Offtake_Chain_Zone!$B:$B,"Metro Cnc",Offtake_Chain_Zone!P:P),SUMIF(Offtake_Chain_Zone!$B:$B,"Metro Cnc",Offtake_Chain_Zone!Q:Q))</f>
      </c>
      <c r="H11" s="2">
        <f>SUMIF(Offtake_Chain_Zone!$B:$B,"Metro Cnc",Offtake_Chain_Zone!R:R)/AVERAGE(SUMIF(Offtake_Chain_Zone!$B:$B,"Metro Cnc",Offtake_Chain_Zone!O:O),SUMIF(Offtake_Chain_Zone!$B:$B,"Metro Cnc",Offtake_Chain_Zone!P:P),SUMIF(Offtake_Chain_Zone!$B:$B,"Metro Cnc",Offtake_Chain_Zone!Q:Q))-1</f>
      </c>
      <c r="I11" s="2">
        <f>SUMIF(Offtake_Chain_Zone!$B:$B,"Metro Cnc",Offtake_Chain_Zone!R:R)/SUMIF(Offtake_Chain_Zone!$B:$B,"Metro Cnc",Offtake_Chain_Zone!Q:Q)-1</f>
      </c>
      <c r="J11" s="2">
        <f>SUMIF(Offtake_Chain_Zone!$B:$B,"Metro Cnc",Offtake_Chain_Zone!R:R)/SUMIF(Offtake_Chain_Zone!$B:$B,"Metro Cnc",Offtake_Chain_Zone!F:F)-1</f>
      </c>
      <c r="K11" s="1">
        <f>(SUMIF(Offtake_Chain_Zone!$B:$B,"Metro Cnc",Offtake_Chain_Zone!D:D)+SUMIF(Offtake_Chain_Zone!$B:$B,"Metro Cnc",Offtake_Chain_Zone!E:E)+SUMIF(Offtake_Chain_Zone!$B:$B,"Metro Cnc",Offtake_Chain_Zone!F:F))</f>
      </c>
      <c r="L11" s="1">
        <f>(SUMIF(Offtake_Chain_Zone!$B:$B,"Metro Cnc",Offtake_Chain_Zone!P:P)+SUMIF(Offtake_Chain_Zone!$B:$B,"Metro Cnc",Offtake_Chain_Zone!Q:Q)+SUMIF(Offtake_Chain_Zone!$B:$B,"Metro Cnc",Offtake_Chain_Zone!R:R))</f>
      </c>
      <c r="M11" s="2">
        <f>(SUMIF(Offtake_Chain_Zone!$B:$B,"Metro Cnc",Offtake_Chain_Zone!P:P)+SUMIF(Offtake_Chain_Zone!$B:$B,"Metro Cnc",Offtake_Chain_Zone!Q:Q)+SUMIF(Offtake_Chain_Zone!$B:$B,"Metro Cnc",Offtake_Chain_Zone!R:R))/(SUMIF(Offtake_Chain_Zone!$B:$B,"Metro Cnc",Offtake_Chain_Zone!D:D)+SUMIF(Offtake_Chain_Zone!$B:$B,"Metro Cnc",Offtake_Chain_Zone!E:E)+SUMIF(Offtake_Chain_Zone!$B:$B,"Metro Cnc",Offtake_Chain_Zone!F:F))-1</f>
      </c>
    </row>
    <row r="12">
      <c r="A12" t="str">
        <v>H&amp;G</v>
      </c>
      <c r="B12" s="1">
        <f>SUMIF(Offtake_Chain_Zone!$B:$B,"H&amp;G",Offtake_Chain_Zone!F:F)</f>
      </c>
      <c r="C12" s="1">
        <f>SUMIF(Offtake_Chain_Zone!$B:$B,"H&amp;G",Offtake_Chain_Zone!P:P)</f>
      </c>
      <c r="D12" s="1">
        <f>SUMIF(Offtake_Chain_Zone!$B:$B,"H&amp;G",Offtake_Chain_Zone!Q:Q)</f>
      </c>
      <c r="E12" s="1">
        <f>SUMIF(Offtake_Chain_Zone!$B:$B,"H&amp;G",Offtake_Chain_Zone!R:R)</f>
      </c>
      <c r="F12" s="4">
        <f>E12/E$31</f>
      </c>
      <c r="G12" s="5">
        <f>AVERAGE(SUMIF(Offtake_Chain_Zone!$B:$B,"H&amp;G",Offtake_Chain_Zone!O:O),SUMIF(Offtake_Chain_Zone!$B:$B,"H&amp;G",Offtake_Chain_Zone!P:P),SUMIF(Offtake_Chain_Zone!$B:$B,"H&amp;G",Offtake_Chain_Zone!Q:Q))</f>
      </c>
      <c r="H12" s="2">
        <f>SUMIF(Offtake_Chain_Zone!$B:$B,"H&amp;G",Offtake_Chain_Zone!R:R)/AVERAGE(SUMIF(Offtake_Chain_Zone!$B:$B,"H&amp;G",Offtake_Chain_Zone!O:O),SUMIF(Offtake_Chain_Zone!$B:$B,"H&amp;G",Offtake_Chain_Zone!P:P),SUMIF(Offtake_Chain_Zone!$B:$B,"H&amp;G",Offtake_Chain_Zone!Q:Q))-1</f>
      </c>
      <c r="I12" s="2">
        <f>SUMIF(Offtake_Chain_Zone!$B:$B,"H&amp;G",Offtake_Chain_Zone!R:R)/SUMIF(Offtake_Chain_Zone!$B:$B,"H&amp;G",Offtake_Chain_Zone!Q:Q)-1</f>
      </c>
      <c r="J12" s="2">
        <f>SUMIF(Offtake_Chain_Zone!$B:$B,"H&amp;G",Offtake_Chain_Zone!R:R)/SUMIF(Offtake_Chain_Zone!$B:$B,"H&amp;G",Offtake_Chain_Zone!F:F)-1</f>
      </c>
      <c r="K12" s="1">
        <f>(SUMIF(Offtake_Chain_Zone!$B:$B,"H&amp;G",Offtake_Chain_Zone!D:D)+SUMIF(Offtake_Chain_Zone!$B:$B,"H&amp;G",Offtake_Chain_Zone!E:E)+SUMIF(Offtake_Chain_Zone!$B:$B,"H&amp;G",Offtake_Chain_Zone!F:F))</f>
      </c>
      <c r="L12" s="1">
        <f>(SUMIF(Offtake_Chain_Zone!$B:$B,"H&amp;G",Offtake_Chain_Zone!P:P)+SUMIF(Offtake_Chain_Zone!$B:$B,"H&amp;G",Offtake_Chain_Zone!Q:Q)+SUMIF(Offtake_Chain_Zone!$B:$B,"H&amp;G",Offtake_Chain_Zone!R:R))</f>
      </c>
      <c r="M12" s="2">
        <f>(SUMIF(Offtake_Chain_Zone!$B:$B,"H&amp;G",Offtake_Chain_Zone!P:P)+SUMIF(Offtake_Chain_Zone!$B:$B,"H&amp;G",Offtake_Chain_Zone!Q:Q)+SUMIF(Offtake_Chain_Zone!$B:$B,"H&amp;G",Offtake_Chain_Zone!R:R))/(SUMIF(Offtake_Chain_Zone!$B:$B,"H&amp;G",Offtake_Chain_Zone!D:D)+SUMIF(Offtake_Chain_Zone!$B:$B,"H&amp;G",Offtake_Chain_Zone!E:E)+SUMIF(Offtake_Chain_Zone!$B:$B,"H&amp;G",Offtake_Chain_Zone!F:F))-1</f>
      </c>
    </row>
    <row r="13">
      <c r="A13" t="str">
        <v>More Retail</v>
      </c>
      <c r="B13" s="1">
        <f>SUMIF(Offtake_Chain_Zone!$B:$B,"More Retail",Offtake_Chain_Zone!F:F)</f>
      </c>
      <c r="C13" s="1">
        <f>SUMIF(Offtake_Chain_Zone!$B:$B,"More Retail",Offtake_Chain_Zone!P:P)</f>
      </c>
      <c r="D13" s="1">
        <f>SUMIF(Offtake_Chain_Zone!$B:$B,"More Retail",Offtake_Chain_Zone!Q:Q)</f>
      </c>
      <c r="E13" s="1">
        <f>SUMIF(Offtake_Chain_Zone!$B:$B,"More Retail",Offtake_Chain_Zone!R:R)</f>
      </c>
      <c r="F13" s="4">
        <f>E13/E$31</f>
      </c>
      <c r="G13" s="5">
        <f>AVERAGE(SUMIF(Offtake_Chain_Zone!$B:$B,"More Retail",Offtake_Chain_Zone!O:O),SUMIF(Offtake_Chain_Zone!$B:$B,"More Retail",Offtake_Chain_Zone!P:P),SUMIF(Offtake_Chain_Zone!$B:$B,"More Retail",Offtake_Chain_Zone!Q:Q))</f>
      </c>
      <c r="H13" s="2">
        <f>SUMIF(Offtake_Chain_Zone!$B:$B,"More Retail",Offtake_Chain_Zone!R:R)/AVERAGE(SUMIF(Offtake_Chain_Zone!$B:$B,"More Retail",Offtake_Chain_Zone!O:O),SUMIF(Offtake_Chain_Zone!$B:$B,"More Retail",Offtake_Chain_Zone!P:P),SUMIF(Offtake_Chain_Zone!$B:$B,"More Retail",Offtake_Chain_Zone!Q:Q))-1</f>
      </c>
      <c r="I13" s="2">
        <f>SUMIF(Offtake_Chain_Zone!$B:$B,"More Retail",Offtake_Chain_Zone!R:R)/SUMIF(Offtake_Chain_Zone!$B:$B,"More Retail",Offtake_Chain_Zone!Q:Q)-1</f>
      </c>
      <c r="J13" s="2">
        <f>SUMIF(Offtake_Chain_Zone!$B:$B,"More Retail",Offtake_Chain_Zone!R:R)/SUMIF(Offtake_Chain_Zone!$B:$B,"More Retail",Offtake_Chain_Zone!F:F)-1</f>
      </c>
      <c r="K13" s="1">
        <f>(SUMIF(Offtake_Chain_Zone!$B:$B,"More Retail",Offtake_Chain_Zone!D:D)+SUMIF(Offtake_Chain_Zone!$B:$B,"More Retail",Offtake_Chain_Zone!E:E)+SUMIF(Offtake_Chain_Zone!$B:$B,"More Retail",Offtake_Chain_Zone!F:F))</f>
      </c>
      <c r="L13" s="1">
        <f>(SUMIF(Offtake_Chain_Zone!$B:$B,"More Retail",Offtake_Chain_Zone!P:P)+SUMIF(Offtake_Chain_Zone!$B:$B,"More Retail",Offtake_Chain_Zone!Q:Q)+SUMIF(Offtake_Chain_Zone!$B:$B,"More Retail",Offtake_Chain_Zone!R:R))</f>
      </c>
      <c r="M13" s="2">
        <f>(SUMIF(Offtake_Chain_Zone!$B:$B,"More Retail",Offtake_Chain_Zone!P:P)+SUMIF(Offtake_Chain_Zone!$B:$B,"More Retail",Offtake_Chain_Zone!Q:Q)+SUMIF(Offtake_Chain_Zone!$B:$B,"More Retail",Offtake_Chain_Zone!R:R))/(SUMIF(Offtake_Chain_Zone!$B:$B,"More Retail",Offtake_Chain_Zone!D:D)+SUMIF(Offtake_Chain_Zone!$B:$B,"More Retail",Offtake_Chain_Zone!E:E)+SUMIF(Offtake_Chain_Zone!$B:$B,"More Retail",Offtake_Chain_Zone!F:F))-1</f>
      </c>
    </row>
    <row r="14">
      <c r="A14" t="str">
        <v>Sancus(Rmt)</v>
      </c>
      <c r="B14" s="1">
        <f>SUMIF(Offtake_Chain_Zone!$B:$B,"Sancus(Rmt)",Offtake_Chain_Zone!F:F)</f>
      </c>
      <c r="C14" s="1">
        <f>SUMIF(Offtake_Chain_Zone!$B:$B,"Sancus(Rmt)",Offtake_Chain_Zone!P:P)</f>
      </c>
      <c r="D14" s="1">
        <f>SUMIF(Offtake_Chain_Zone!$B:$B,"Sancus(Rmt)",Offtake_Chain_Zone!Q:Q)</f>
      </c>
      <c r="E14" s="1">
        <f>SUMIF(Offtake_Chain_Zone!$B:$B,"Sancus(Rmt)",Offtake_Chain_Zone!R:R)</f>
      </c>
      <c r="F14" s="4">
        <f>E14/E$31</f>
      </c>
      <c r="G14" s="5">
        <f>AVERAGE(SUMIF(Offtake_Chain_Zone!$B:$B,"Sancus(Rmt)",Offtake_Chain_Zone!O:O),SUMIF(Offtake_Chain_Zone!$B:$B,"Sancus(Rmt)",Offtake_Chain_Zone!P:P),SUMIF(Offtake_Chain_Zone!$B:$B,"Sancus(Rmt)",Offtake_Chain_Zone!Q:Q))</f>
      </c>
      <c r="H14" s="2">
        <f>SUMIF(Offtake_Chain_Zone!$B:$B,"Sancus(Rmt)",Offtake_Chain_Zone!R:R)/AVERAGE(SUMIF(Offtake_Chain_Zone!$B:$B,"Sancus(Rmt)",Offtake_Chain_Zone!O:O),SUMIF(Offtake_Chain_Zone!$B:$B,"Sancus(Rmt)",Offtake_Chain_Zone!P:P),SUMIF(Offtake_Chain_Zone!$B:$B,"Sancus(Rmt)",Offtake_Chain_Zone!Q:Q))-1</f>
      </c>
      <c r="I14" s="2">
        <f>SUMIF(Offtake_Chain_Zone!$B:$B,"Sancus(Rmt)",Offtake_Chain_Zone!R:R)/SUMIF(Offtake_Chain_Zone!$B:$B,"Sancus(Rmt)",Offtake_Chain_Zone!Q:Q)-1</f>
      </c>
      <c r="J14" s="2">
        <f>SUMIF(Offtake_Chain_Zone!$B:$B,"Sancus(Rmt)",Offtake_Chain_Zone!R:R)/SUMIF(Offtake_Chain_Zone!$B:$B,"Sancus(Rmt)",Offtake_Chain_Zone!F:F)-1</f>
      </c>
      <c r="K14" s="1">
        <f>(SUMIF(Offtake_Chain_Zone!$B:$B,"Sancus(Rmt)",Offtake_Chain_Zone!D:D)+SUMIF(Offtake_Chain_Zone!$B:$B,"Sancus(Rmt)",Offtake_Chain_Zone!E:E)+SUMIF(Offtake_Chain_Zone!$B:$B,"Sancus(Rmt)",Offtake_Chain_Zone!F:F))</f>
      </c>
      <c r="L14" s="1">
        <f>(SUMIF(Offtake_Chain_Zone!$B:$B,"Sancus(Rmt)",Offtake_Chain_Zone!P:P)+SUMIF(Offtake_Chain_Zone!$B:$B,"Sancus(Rmt)",Offtake_Chain_Zone!Q:Q)+SUMIF(Offtake_Chain_Zone!$B:$B,"Sancus(Rmt)",Offtake_Chain_Zone!R:R))</f>
      </c>
      <c r="M14" s="2">
        <f>(SUMIF(Offtake_Chain_Zone!$B:$B,"Sancus(Rmt)",Offtake_Chain_Zone!P:P)+SUMIF(Offtake_Chain_Zone!$B:$B,"Sancus(Rmt)",Offtake_Chain_Zone!Q:Q)+SUMIF(Offtake_Chain_Zone!$B:$B,"Sancus(Rmt)",Offtake_Chain_Zone!R:R))/(SUMIF(Offtake_Chain_Zone!$B:$B,"Sancus(Rmt)",Offtake_Chain_Zone!D:D)+SUMIF(Offtake_Chain_Zone!$B:$B,"Sancus(Rmt)",Offtake_Chain_Zone!E:E)+SUMIF(Offtake_Chain_Zone!$B:$B,"Sancus(Rmt)",Offtake_Chain_Zone!F:F))-1</f>
      </c>
    </row>
    <row r="15">
      <c r="A15" t="str">
        <v>Vmm</v>
      </c>
      <c r="B15" s="1">
        <f>SUMIF(Offtake_Chain_Zone!$B:$B,"Vmm",Offtake_Chain_Zone!F:F)</f>
      </c>
      <c r="C15" s="1">
        <f>SUMIF(Offtake_Chain_Zone!$B:$B,"Vmm",Offtake_Chain_Zone!P:P)</f>
      </c>
      <c r="D15" s="1">
        <f>SUMIF(Offtake_Chain_Zone!$B:$B,"Vmm",Offtake_Chain_Zone!Q:Q)</f>
      </c>
      <c r="E15" s="1">
        <f>SUMIF(Offtake_Chain_Zone!$B:$B,"Vmm",Offtake_Chain_Zone!R:R)</f>
      </c>
      <c r="F15" s="4">
        <f>E15/E$31</f>
      </c>
      <c r="G15" s="5">
        <f>AVERAGE(SUMIF(Offtake_Chain_Zone!$B:$B,"Vmm",Offtake_Chain_Zone!O:O),SUMIF(Offtake_Chain_Zone!$B:$B,"Vmm",Offtake_Chain_Zone!P:P),SUMIF(Offtake_Chain_Zone!$B:$B,"Vmm",Offtake_Chain_Zone!Q:Q))</f>
      </c>
      <c r="H15" s="2">
        <f>SUMIF(Offtake_Chain_Zone!$B:$B,"Vmm",Offtake_Chain_Zone!R:R)/AVERAGE(SUMIF(Offtake_Chain_Zone!$B:$B,"Vmm",Offtake_Chain_Zone!O:O),SUMIF(Offtake_Chain_Zone!$B:$B,"Vmm",Offtake_Chain_Zone!P:P),SUMIF(Offtake_Chain_Zone!$B:$B,"Vmm",Offtake_Chain_Zone!Q:Q))-1</f>
      </c>
      <c r="I15" s="2">
        <f>SUMIF(Offtake_Chain_Zone!$B:$B,"Vmm",Offtake_Chain_Zone!R:R)/SUMIF(Offtake_Chain_Zone!$B:$B,"Vmm",Offtake_Chain_Zone!Q:Q)-1</f>
      </c>
      <c r="J15" s="2">
        <f>SUMIF(Offtake_Chain_Zone!$B:$B,"Vmm",Offtake_Chain_Zone!R:R)/SUMIF(Offtake_Chain_Zone!$B:$B,"Vmm",Offtake_Chain_Zone!F:F)-1</f>
      </c>
      <c r="K15" s="1">
        <f>(SUMIF(Offtake_Chain_Zone!$B:$B,"Vmm",Offtake_Chain_Zone!D:D)+SUMIF(Offtake_Chain_Zone!$B:$B,"Vmm",Offtake_Chain_Zone!E:E)+SUMIF(Offtake_Chain_Zone!$B:$B,"Vmm",Offtake_Chain_Zone!F:F))</f>
      </c>
      <c r="L15" s="1">
        <f>(SUMIF(Offtake_Chain_Zone!$B:$B,"Vmm",Offtake_Chain_Zone!P:P)+SUMIF(Offtake_Chain_Zone!$B:$B,"Vmm",Offtake_Chain_Zone!Q:Q)+SUMIF(Offtake_Chain_Zone!$B:$B,"Vmm",Offtake_Chain_Zone!R:R))</f>
      </c>
      <c r="M15" s="2">
        <f>(SUMIF(Offtake_Chain_Zone!$B:$B,"Vmm",Offtake_Chain_Zone!P:P)+SUMIF(Offtake_Chain_Zone!$B:$B,"Vmm",Offtake_Chain_Zone!Q:Q)+SUMIF(Offtake_Chain_Zone!$B:$B,"Vmm",Offtake_Chain_Zone!R:R))/(SUMIF(Offtake_Chain_Zone!$B:$B,"Vmm",Offtake_Chain_Zone!D:D)+SUMIF(Offtake_Chain_Zone!$B:$B,"Vmm",Offtake_Chain_Zone!E:E)+SUMIF(Offtake_Chain_Zone!$B:$B,"Vmm",Offtake_Chain_Zone!F:F))-1</f>
      </c>
    </row>
    <row r="16">
      <c r="A16" t="str">
        <v>V-Mart</v>
      </c>
      <c r="B16" s="1">
        <f>SUMIF(Offtake_Chain_Zone!$B:$B,"V-Mart",Offtake_Chain_Zone!F:F)</f>
      </c>
      <c r="C16" s="1">
        <f>SUMIF(Offtake_Chain_Zone!$B:$B,"V-Mart",Offtake_Chain_Zone!P:P)</f>
      </c>
      <c r="D16" s="1">
        <f>SUMIF(Offtake_Chain_Zone!$B:$B,"V-Mart",Offtake_Chain_Zone!Q:Q)</f>
      </c>
      <c r="E16" s="1">
        <f>SUMIF(Offtake_Chain_Zone!$B:$B,"V-Mart",Offtake_Chain_Zone!R:R)</f>
      </c>
      <c r="F16" s="4">
        <f>E16/E$31</f>
      </c>
      <c r="G16" s="5">
        <f>AVERAGE(SUMIF(Offtake_Chain_Zone!$B:$B,"V-Mart",Offtake_Chain_Zone!O:O),SUMIF(Offtake_Chain_Zone!$B:$B,"V-Mart",Offtake_Chain_Zone!P:P),SUMIF(Offtake_Chain_Zone!$B:$B,"V-Mart",Offtake_Chain_Zone!Q:Q))</f>
      </c>
      <c r="H16" s="2">
        <f>SUMIF(Offtake_Chain_Zone!$B:$B,"V-Mart",Offtake_Chain_Zone!R:R)/AVERAGE(SUMIF(Offtake_Chain_Zone!$B:$B,"V-Mart",Offtake_Chain_Zone!O:O),SUMIF(Offtake_Chain_Zone!$B:$B,"V-Mart",Offtake_Chain_Zone!P:P),SUMIF(Offtake_Chain_Zone!$B:$B,"V-Mart",Offtake_Chain_Zone!Q:Q))-1</f>
      </c>
      <c r="I16" s="2">
        <f>SUMIF(Offtake_Chain_Zone!$B:$B,"V-Mart",Offtake_Chain_Zone!R:R)/SUMIF(Offtake_Chain_Zone!$B:$B,"V-Mart",Offtake_Chain_Zone!Q:Q)-1</f>
      </c>
      <c r="J16" s="2">
        <f>SUMIF(Offtake_Chain_Zone!$B:$B,"V-Mart",Offtake_Chain_Zone!R:R)/SUMIF(Offtake_Chain_Zone!$B:$B,"V-Mart",Offtake_Chain_Zone!F:F)-1</f>
      </c>
      <c r="K16" s="1">
        <f>(SUMIF(Offtake_Chain_Zone!$B:$B,"V-Mart",Offtake_Chain_Zone!D:D)+SUMIF(Offtake_Chain_Zone!$B:$B,"V-Mart",Offtake_Chain_Zone!E:E)+SUMIF(Offtake_Chain_Zone!$B:$B,"V-Mart",Offtake_Chain_Zone!F:F))</f>
      </c>
      <c r="L16" s="1">
        <f>(SUMIF(Offtake_Chain_Zone!$B:$B,"V-Mart",Offtake_Chain_Zone!P:P)+SUMIF(Offtake_Chain_Zone!$B:$B,"V-Mart",Offtake_Chain_Zone!Q:Q)+SUMIF(Offtake_Chain_Zone!$B:$B,"V-Mart",Offtake_Chain_Zone!R:R))</f>
      </c>
      <c r="M16" s="2">
        <f>(SUMIF(Offtake_Chain_Zone!$B:$B,"V-Mart",Offtake_Chain_Zone!P:P)+SUMIF(Offtake_Chain_Zone!$B:$B,"V-Mart",Offtake_Chain_Zone!Q:Q)+SUMIF(Offtake_Chain_Zone!$B:$B,"V-Mart",Offtake_Chain_Zone!R:R))/(SUMIF(Offtake_Chain_Zone!$B:$B,"V-Mart",Offtake_Chain_Zone!D:D)+SUMIF(Offtake_Chain_Zone!$B:$B,"V-Mart",Offtake_Chain_Zone!E:E)+SUMIF(Offtake_Chain_Zone!$B:$B,"V-Mart",Offtake_Chain_Zone!F:F))-1</f>
      </c>
    </row>
    <row r="17">
      <c r="A17" t="str">
        <v>Trent</v>
      </c>
      <c r="B17" s="1">
        <f>SUMIF(Offtake_Chain_Zone!$B:$B,"Trent",Offtake_Chain_Zone!F:F)</f>
      </c>
      <c r="C17" s="1">
        <f>SUMIF(Offtake_Chain_Zone!$B:$B,"Trent",Offtake_Chain_Zone!P:P)</f>
      </c>
      <c r="D17" s="1">
        <f>SUMIF(Offtake_Chain_Zone!$B:$B,"Trent",Offtake_Chain_Zone!Q:Q)</f>
      </c>
      <c r="E17" s="1">
        <f>SUMIF(Offtake_Chain_Zone!$B:$B,"Trent",Offtake_Chain_Zone!R:R)</f>
      </c>
      <c r="F17" s="4">
        <f>E17/E$31</f>
      </c>
      <c r="G17" s="5">
        <f>AVERAGE(SUMIF(Offtake_Chain_Zone!$B:$B,"Trent",Offtake_Chain_Zone!O:O),SUMIF(Offtake_Chain_Zone!$B:$B,"Trent",Offtake_Chain_Zone!P:P),SUMIF(Offtake_Chain_Zone!$B:$B,"Trent",Offtake_Chain_Zone!Q:Q))</f>
      </c>
      <c r="H17" s="2">
        <f>SUMIF(Offtake_Chain_Zone!$B:$B,"Trent",Offtake_Chain_Zone!R:R)/AVERAGE(SUMIF(Offtake_Chain_Zone!$B:$B,"Trent",Offtake_Chain_Zone!O:O),SUMIF(Offtake_Chain_Zone!$B:$B,"Trent",Offtake_Chain_Zone!P:P),SUMIF(Offtake_Chain_Zone!$B:$B,"Trent",Offtake_Chain_Zone!Q:Q))-1</f>
      </c>
      <c r="I17" s="2">
        <f>SUMIF(Offtake_Chain_Zone!$B:$B,"Trent",Offtake_Chain_Zone!R:R)/SUMIF(Offtake_Chain_Zone!$B:$B,"Trent",Offtake_Chain_Zone!Q:Q)-1</f>
      </c>
      <c r="J17" s="2">
        <f>SUMIF(Offtake_Chain_Zone!$B:$B,"Trent",Offtake_Chain_Zone!R:R)/SUMIF(Offtake_Chain_Zone!$B:$B,"Trent",Offtake_Chain_Zone!F:F)-1</f>
      </c>
      <c r="K17" s="1">
        <f>(SUMIF(Offtake_Chain_Zone!$B:$B,"Trent",Offtake_Chain_Zone!D:D)+SUMIF(Offtake_Chain_Zone!$B:$B,"Trent",Offtake_Chain_Zone!E:E)+SUMIF(Offtake_Chain_Zone!$B:$B,"Trent",Offtake_Chain_Zone!F:F))</f>
      </c>
      <c r="L17" s="1">
        <f>(SUMIF(Offtake_Chain_Zone!$B:$B,"Trent",Offtake_Chain_Zone!P:P)+SUMIF(Offtake_Chain_Zone!$B:$B,"Trent",Offtake_Chain_Zone!Q:Q)+SUMIF(Offtake_Chain_Zone!$B:$B,"Trent",Offtake_Chain_Zone!R:R))</f>
      </c>
      <c r="M17" s="2">
        <f>(SUMIF(Offtake_Chain_Zone!$B:$B,"Trent",Offtake_Chain_Zone!P:P)+SUMIF(Offtake_Chain_Zone!$B:$B,"Trent",Offtake_Chain_Zone!Q:Q)+SUMIF(Offtake_Chain_Zone!$B:$B,"Trent",Offtake_Chain_Zone!R:R))/(SUMIF(Offtake_Chain_Zone!$B:$B,"Trent",Offtake_Chain_Zone!D:D)+SUMIF(Offtake_Chain_Zone!$B:$B,"Trent",Offtake_Chain_Zone!E:E)+SUMIF(Offtake_Chain_Zone!$B:$B,"Trent",Offtake_Chain_Zone!F:F))-1</f>
      </c>
    </row>
    <row r="18">
      <c r="A18" t="str">
        <v>Spencer</v>
      </c>
      <c r="B18" s="1">
        <f>SUMIF(Offtake_Chain_Zone!$B:$B,"Spencer",Offtake_Chain_Zone!F:F)</f>
      </c>
      <c r="C18" s="1">
        <f>SUMIF(Offtake_Chain_Zone!$B:$B,"Spencer",Offtake_Chain_Zone!P:P)</f>
      </c>
      <c r="D18" s="1">
        <f>SUMIF(Offtake_Chain_Zone!$B:$B,"Spencer",Offtake_Chain_Zone!Q:Q)</f>
      </c>
      <c r="E18" s="1">
        <f>SUMIF(Offtake_Chain_Zone!$B:$B,"Spencer",Offtake_Chain_Zone!R:R)</f>
      </c>
      <c r="F18" s="4">
        <f>E18/E$31</f>
      </c>
      <c r="G18" s="5">
        <f>AVERAGE(SUMIF(Offtake_Chain_Zone!$B:$B,"Spencer",Offtake_Chain_Zone!O:O),SUMIF(Offtake_Chain_Zone!$B:$B,"Spencer",Offtake_Chain_Zone!P:P),SUMIF(Offtake_Chain_Zone!$B:$B,"Spencer",Offtake_Chain_Zone!Q:Q))</f>
      </c>
      <c r="H18" s="2">
        <f>SUMIF(Offtake_Chain_Zone!$B:$B,"Spencer",Offtake_Chain_Zone!R:R)/AVERAGE(SUMIF(Offtake_Chain_Zone!$B:$B,"Spencer",Offtake_Chain_Zone!O:O),SUMIF(Offtake_Chain_Zone!$B:$B,"Spencer",Offtake_Chain_Zone!P:P),SUMIF(Offtake_Chain_Zone!$B:$B,"Spencer",Offtake_Chain_Zone!Q:Q))-1</f>
      </c>
      <c r="I18" s="2">
        <f>SUMIF(Offtake_Chain_Zone!$B:$B,"Spencer",Offtake_Chain_Zone!R:R)/SUMIF(Offtake_Chain_Zone!$B:$B,"Spencer",Offtake_Chain_Zone!Q:Q)-1</f>
      </c>
      <c r="J18" s="2">
        <f>SUMIF(Offtake_Chain_Zone!$B:$B,"Spencer",Offtake_Chain_Zone!R:R)/SUMIF(Offtake_Chain_Zone!$B:$B,"Spencer",Offtake_Chain_Zone!F:F)-1</f>
      </c>
      <c r="K18" s="1">
        <f>(SUMIF(Offtake_Chain_Zone!$B:$B,"Spencer",Offtake_Chain_Zone!D:D)+SUMIF(Offtake_Chain_Zone!$B:$B,"Spencer",Offtake_Chain_Zone!E:E)+SUMIF(Offtake_Chain_Zone!$B:$B,"Spencer",Offtake_Chain_Zone!F:F))</f>
      </c>
      <c r="L18" s="1">
        <f>(SUMIF(Offtake_Chain_Zone!$B:$B,"Spencer",Offtake_Chain_Zone!P:P)+SUMIF(Offtake_Chain_Zone!$B:$B,"Spencer",Offtake_Chain_Zone!Q:Q)+SUMIF(Offtake_Chain_Zone!$B:$B,"Spencer",Offtake_Chain_Zone!R:R))</f>
      </c>
      <c r="M18" s="2">
        <f>(SUMIF(Offtake_Chain_Zone!$B:$B,"Spencer",Offtake_Chain_Zone!P:P)+SUMIF(Offtake_Chain_Zone!$B:$B,"Spencer",Offtake_Chain_Zone!Q:Q)+SUMIF(Offtake_Chain_Zone!$B:$B,"Spencer",Offtake_Chain_Zone!R:R))/(SUMIF(Offtake_Chain_Zone!$B:$B,"Spencer",Offtake_Chain_Zone!D:D)+SUMIF(Offtake_Chain_Zone!$B:$B,"Spencer",Offtake_Chain_Zone!E:E)+SUMIF(Offtake_Chain_Zone!$B:$B,"Spencer",Offtake_Chain_Zone!F:F))-1</f>
      </c>
    </row>
    <row r="19">
      <c r="A19" t="str">
        <v>Frankros</v>
      </c>
      <c r="B19" s="1">
        <f>SUMIF(Offtake_Chain_Zone!$B:$B,"Frankros",Offtake_Chain_Zone!F:F)</f>
      </c>
      <c r="C19" s="1">
        <f>SUMIF(Offtake_Chain_Zone!$B:$B,"Frankros",Offtake_Chain_Zone!P:P)</f>
      </c>
      <c r="D19" s="1">
        <f>SUMIF(Offtake_Chain_Zone!$B:$B,"Frankros",Offtake_Chain_Zone!Q:Q)</f>
      </c>
      <c r="E19" s="1">
        <f>SUMIF(Offtake_Chain_Zone!$B:$B,"Frankros",Offtake_Chain_Zone!R:R)</f>
      </c>
      <c r="F19" s="4">
        <f>E19/E$31</f>
      </c>
      <c r="G19" s="5">
        <f>AVERAGE(SUMIF(Offtake_Chain_Zone!$B:$B,"Frankros",Offtake_Chain_Zone!O:O),SUMIF(Offtake_Chain_Zone!$B:$B,"Frankros",Offtake_Chain_Zone!P:P),SUMIF(Offtake_Chain_Zone!$B:$B,"Frankros",Offtake_Chain_Zone!Q:Q))</f>
      </c>
      <c r="H19" s="2">
        <f>SUMIF(Offtake_Chain_Zone!$B:$B,"Frankros",Offtake_Chain_Zone!R:R)/AVERAGE(SUMIF(Offtake_Chain_Zone!$B:$B,"Frankros",Offtake_Chain_Zone!O:O),SUMIF(Offtake_Chain_Zone!$B:$B,"Frankros",Offtake_Chain_Zone!P:P),SUMIF(Offtake_Chain_Zone!$B:$B,"Frankros",Offtake_Chain_Zone!Q:Q))-1</f>
      </c>
      <c r="I19" s="2">
        <f>SUMIF(Offtake_Chain_Zone!$B:$B,"Frankros",Offtake_Chain_Zone!R:R)/SUMIF(Offtake_Chain_Zone!$B:$B,"Frankros",Offtake_Chain_Zone!Q:Q)-1</f>
      </c>
      <c r="J19" s="2">
        <f>SUMIF(Offtake_Chain_Zone!$B:$B,"Frankros",Offtake_Chain_Zone!R:R)/SUMIF(Offtake_Chain_Zone!$B:$B,"Frankros",Offtake_Chain_Zone!F:F)-1</f>
      </c>
      <c r="K19" s="1">
        <f>(SUMIF(Offtake_Chain_Zone!$B:$B,"Frankros",Offtake_Chain_Zone!D:D)+SUMIF(Offtake_Chain_Zone!$B:$B,"Frankros",Offtake_Chain_Zone!E:E)+SUMIF(Offtake_Chain_Zone!$B:$B,"Frankros",Offtake_Chain_Zone!F:F))</f>
      </c>
      <c r="L19" s="1">
        <f>(SUMIF(Offtake_Chain_Zone!$B:$B,"Frankros",Offtake_Chain_Zone!P:P)+SUMIF(Offtake_Chain_Zone!$B:$B,"Frankros",Offtake_Chain_Zone!Q:Q)+SUMIF(Offtake_Chain_Zone!$B:$B,"Frankros",Offtake_Chain_Zone!R:R))</f>
      </c>
      <c r="M19" s="2">
        <f>(SUMIF(Offtake_Chain_Zone!$B:$B,"Frankros",Offtake_Chain_Zone!P:P)+SUMIF(Offtake_Chain_Zone!$B:$B,"Frankros",Offtake_Chain_Zone!Q:Q)+SUMIF(Offtake_Chain_Zone!$B:$B,"Frankros",Offtake_Chain_Zone!R:R))/(SUMIF(Offtake_Chain_Zone!$B:$B,"Frankros",Offtake_Chain_Zone!D:D)+SUMIF(Offtake_Chain_Zone!$B:$B,"Frankros",Offtake_Chain_Zone!E:E)+SUMIF(Offtake_Chain_Zone!$B:$B,"Frankros",Offtake_Chain_Zone!F:F))-1</f>
      </c>
    </row>
    <row r="20">
      <c r="A20" t="str">
        <v>Arambagh</v>
      </c>
      <c r="B20" s="1">
        <f>SUMIF(Offtake_Chain_Zone!$B:$B,"Arambagh",Offtake_Chain_Zone!F:F)</f>
      </c>
      <c r="C20" s="1">
        <f>SUMIF(Offtake_Chain_Zone!$B:$B,"Arambagh",Offtake_Chain_Zone!P:P)</f>
      </c>
      <c r="D20" s="1">
        <f>SUMIF(Offtake_Chain_Zone!$B:$B,"Arambagh",Offtake_Chain_Zone!Q:Q)</f>
      </c>
      <c r="E20" s="1">
        <f>SUMIF(Offtake_Chain_Zone!$B:$B,"Arambagh",Offtake_Chain_Zone!R:R)</f>
      </c>
      <c r="F20" s="4">
        <f>E20/E$31</f>
      </c>
      <c r="G20" s="5">
        <f>AVERAGE(SUMIF(Offtake_Chain_Zone!$B:$B,"Arambagh",Offtake_Chain_Zone!O:O),SUMIF(Offtake_Chain_Zone!$B:$B,"Arambagh",Offtake_Chain_Zone!P:P),SUMIF(Offtake_Chain_Zone!$B:$B,"Arambagh",Offtake_Chain_Zone!Q:Q))</f>
      </c>
      <c r="H20" s="2">
        <f>SUMIF(Offtake_Chain_Zone!$B:$B,"Arambagh",Offtake_Chain_Zone!R:R)/AVERAGE(SUMIF(Offtake_Chain_Zone!$B:$B,"Arambagh",Offtake_Chain_Zone!O:O),SUMIF(Offtake_Chain_Zone!$B:$B,"Arambagh",Offtake_Chain_Zone!P:P),SUMIF(Offtake_Chain_Zone!$B:$B,"Arambagh",Offtake_Chain_Zone!Q:Q))-1</f>
      </c>
      <c r="I20" s="2">
        <f>SUMIF(Offtake_Chain_Zone!$B:$B,"Arambagh",Offtake_Chain_Zone!R:R)/SUMIF(Offtake_Chain_Zone!$B:$B,"Arambagh",Offtake_Chain_Zone!Q:Q)-1</f>
      </c>
      <c r="J20" s="2">
        <f>SUMIF(Offtake_Chain_Zone!$B:$B,"Arambagh",Offtake_Chain_Zone!R:R)/SUMIF(Offtake_Chain_Zone!$B:$B,"Arambagh",Offtake_Chain_Zone!F:F)-1</f>
      </c>
      <c r="K20" s="1">
        <f>(SUMIF(Offtake_Chain_Zone!$B:$B,"Arambagh",Offtake_Chain_Zone!D:D)+SUMIF(Offtake_Chain_Zone!$B:$B,"Arambagh",Offtake_Chain_Zone!E:E)+SUMIF(Offtake_Chain_Zone!$B:$B,"Arambagh",Offtake_Chain_Zone!F:F))</f>
      </c>
      <c r="L20" s="1">
        <f>(SUMIF(Offtake_Chain_Zone!$B:$B,"Arambagh",Offtake_Chain_Zone!P:P)+SUMIF(Offtake_Chain_Zone!$B:$B,"Arambagh",Offtake_Chain_Zone!Q:Q)+SUMIF(Offtake_Chain_Zone!$B:$B,"Arambagh",Offtake_Chain_Zone!R:R))</f>
      </c>
      <c r="M20" s="2">
        <f>(SUMIF(Offtake_Chain_Zone!$B:$B,"Arambagh",Offtake_Chain_Zone!P:P)+SUMIF(Offtake_Chain_Zone!$B:$B,"Arambagh",Offtake_Chain_Zone!Q:Q)+SUMIF(Offtake_Chain_Zone!$B:$B,"Arambagh",Offtake_Chain_Zone!R:R))/(SUMIF(Offtake_Chain_Zone!$B:$B,"Arambagh",Offtake_Chain_Zone!D:D)+SUMIF(Offtake_Chain_Zone!$B:$B,"Arambagh",Offtake_Chain_Zone!E:E)+SUMIF(Offtake_Chain_Zone!$B:$B,"Arambagh",Offtake_Chain_Zone!F:F))-1</f>
      </c>
    </row>
    <row r="21">
      <c r="A21" t="str">
        <v>Walmart Cnc</v>
      </c>
      <c r="B21" s="1">
        <f>SUMIF(Offtake_Chain_Zone!$B:$B,"Walmart Cnc",Offtake_Chain_Zone!F:F)</f>
      </c>
      <c r="C21" s="1">
        <f>SUMIF(Offtake_Chain_Zone!$B:$B,"Walmart Cnc",Offtake_Chain_Zone!P:P)</f>
      </c>
      <c r="D21" s="1">
        <f>SUMIF(Offtake_Chain_Zone!$B:$B,"Walmart Cnc",Offtake_Chain_Zone!Q:Q)</f>
      </c>
      <c r="E21" s="1">
        <f>SUMIF(Offtake_Chain_Zone!$B:$B,"Walmart Cnc",Offtake_Chain_Zone!R:R)</f>
      </c>
      <c r="F21" s="4">
        <f>E21/E$31</f>
      </c>
      <c r="G21" s="5">
        <f>AVERAGE(SUMIF(Offtake_Chain_Zone!$B:$B,"Walmart Cnc",Offtake_Chain_Zone!O:O),SUMIF(Offtake_Chain_Zone!$B:$B,"Walmart Cnc",Offtake_Chain_Zone!P:P),SUMIF(Offtake_Chain_Zone!$B:$B,"Walmart Cnc",Offtake_Chain_Zone!Q:Q))</f>
      </c>
      <c r="H21" s="2">
        <f>SUMIF(Offtake_Chain_Zone!$B:$B,"Walmart Cnc",Offtake_Chain_Zone!R:R)/AVERAGE(SUMIF(Offtake_Chain_Zone!$B:$B,"Walmart Cnc",Offtake_Chain_Zone!O:O),SUMIF(Offtake_Chain_Zone!$B:$B,"Walmart Cnc",Offtake_Chain_Zone!P:P),SUMIF(Offtake_Chain_Zone!$B:$B,"Walmart Cnc",Offtake_Chain_Zone!Q:Q))-1</f>
      </c>
      <c r="I21" s="2">
        <f>SUMIF(Offtake_Chain_Zone!$B:$B,"Walmart Cnc",Offtake_Chain_Zone!R:R)/SUMIF(Offtake_Chain_Zone!$B:$B,"Walmart Cnc",Offtake_Chain_Zone!Q:Q)-1</f>
      </c>
      <c r="J21" s="2">
        <f>SUMIF(Offtake_Chain_Zone!$B:$B,"Walmart Cnc",Offtake_Chain_Zone!R:R)/SUMIF(Offtake_Chain_Zone!$B:$B,"Walmart Cnc",Offtake_Chain_Zone!F:F)-1</f>
      </c>
      <c r="K21" s="1">
        <f>(SUMIF(Offtake_Chain_Zone!$B:$B,"Walmart Cnc",Offtake_Chain_Zone!D:D)+SUMIF(Offtake_Chain_Zone!$B:$B,"Walmart Cnc",Offtake_Chain_Zone!E:E)+SUMIF(Offtake_Chain_Zone!$B:$B,"Walmart Cnc",Offtake_Chain_Zone!F:F))</f>
      </c>
      <c r="L21" s="1">
        <f>(SUMIF(Offtake_Chain_Zone!$B:$B,"Walmart Cnc",Offtake_Chain_Zone!P:P)+SUMIF(Offtake_Chain_Zone!$B:$B,"Walmart Cnc",Offtake_Chain_Zone!Q:Q)+SUMIF(Offtake_Chain_Zone!$B:$B,"Walmart Cnc",Offtake_Chain_Zone!R:R))</f>
      </c>
      <c r="M21" s="2">
        <f>(SUMIF(Offtake_Chain_Zone!$B:$B,"Walmart Cnc",Offtake_Chain_Zone!P:P)+SUMIF(Offtake_Chain_Zone!$B:$B,"Walmart Cnc",Offtake_Chain_Zone!Q:Q)+SUMIF(Offtake_Chain_Zone!$B:$B,"Walmart Cnc",Offtake_Chain_Zone!R:R))/(SUMIF(Offtake_Chain_Zone!$B:$B,"Walmart Cnc",Offtake_Chain_Zone!D:D)+SUMIF(Offtake_Chain_Zone!$B:$B,"Walmart Cnc",Offtake_Chain_Zone!E:E)+SUMIF(Offtake_Chain_Zone!$B:$B,"Walmart Cnc",Offtake_Chain_Zone!F:F))-1</f>
      </c>
    </row>
    <row r="22">
      <c r="A22" t="str">
        <v>National Mart</v>
      </c>
      <c r="B22" s="1">
        <f>SUMIF(Offtake_Chain_Zone!$B:$B,"National Mart",Offtake_Chain_Zone!F:F)</f>
      </c>
      <c r="C22" s="1">
        <f>SUMIF(Offtake_Chain_Zone!$B:$B,"National Mart",Offtake_Chain_Zone!P:P)</f>
      </c>
      <c r="D22" s="1">
        <f>SUMIF(Offtake_Chain_Zone!$B:$B,"National Mart",Offtake_Chain_Zone!Q:Q)</f>
      </c>
      <c r="E22" s="1">
        <f>SUMIF(Offtake_Chain_Zone!$B:$B,"National Mart",Offtake_Chain_Zone!R:R)</f>
      </c>
      <c r="F22" s="4">
        <f>E22/E$31</f>
      </c>
      <c r="G22" s="5">
        <f>AVERAGE(SUMIF(Offtake_Chain_Zone!$B:$B,"National Mart",Offtake_Chain_Zone!O:O),SUMIF(Offtake_Chain_Zone!$B:$B,"National Mart",Offtake_Chain_Zone!P:P),SUMIF(Offtake_Chain_Zone!$B:$B,"National Mart",Offtake_Chain_Zone!Q:Q))</f>
      </c>
      <c r="H22" s="2">
        <f>SUMIF(Offtake_Chain_Zone!$B:$B,"National Mart",Offtake_Chain_Zone!R:R)/AVERAGE(SUMIF(Offtake_Chain_Zone!$B:$B,"National Mart",Offtake_Chain_Zone!O:O),SUMIF(Offtake_Chain_Zone!$B:$B,"National Mart",Offtake_Chain_Zone!P:P),SUMIF(Offtake_Chain_Zone!$B:$B,"National Mart",Offtake_Chain_Zone!Q:Q))-1</f>
      </c>
      <c r="I22" s="2">
        <f>SUMIF(Offtake_Chain_Zone!$B:$B,"National Mart",Offtake_Chain_Zone!R:R)/SUMIF(Offtake_Chain_Zone!$B:$B,"National Mart",Offtake_Chain_Zone!Q:Q)-1</f>
      </c>
      <c r="J22" s="2">
        <f>SUMIF(Offtake_Chain_Zone!$B:$B,"National Mart",Offtake_Chain_Zone!R:R)/SUMIF(Offtake_Chain_Zone!$B:$B,"National Mart",Offtake_Chain_Zone!F:F)-1</f>
      </c>
      <c r="K22" s="1">
        <f>(SUMIF(Offtake_Chain_Zone!$B:$B,"National Mart",Offtake_Chain_Zone!D:D)+SUMIF(Offtake_Chain_Zone!$B:$B,"National Mart",Offtake_Chain_Zone!E:E)+SUMIF(Offtake_Chain_Zone!$B:$B,"National Mart",Offtake_Chain_Zone!F:F))</f>
      </c>
      <c r="L22" s="1">
        <f>(SUMIF(Offtake_Chain_Zone!$B:$B,"National Mart",Offtake_Chain_Zone!P:P)+SUMIF(Offtake_Chain_Zone!$B:$B,"National Mart",Offtake_Chain_Zone!Q:Q)+SUMIF(Offtake_Chain_Zone!$B:$B,"National Mart",Offtake_Chain_Zone!R:R))</f>
      </c>
      <c r="M22" s="2">
        <f>(SUMIF(Offtake_Chain_Zone!$B:$B,"National Mart",Offtake_Chain_Zone!P:P)+SUMIF(Offtake_Chain_Zone!$B:$B,"National Mart",Offtake_Chain_Zone!Q:Q)+SUMIF(Offtake_Chain_Zone!$B:$B,"National Mart",Offtake_Chain_Zone!R:R))/(SUMIF(Offtake_Chain_Zone!$B:$B,"National Mart",Offtake_Chain_Zone!D:D)+SUMIF(Offtake_Chain_Zone!$B:$B,"National Mart",Offtake_Chain_Zone!E:E)+SUMIF(Offtake_Chain_Zone!$B:$B,"National Mart",Offtake_Chain_Zone!F:F))-1</f>
      </c>
    </row>
    <row r="23">
      <c r="A23" t="str">
        <v>Ratandeep</v>
      </c>
      <c r="B23" s="1">
        <f>SUMIF(Offtake_Chain_Zone!$B:$B,"Ratandeep",Offtake_Chain_Zone!F:F)</f>
      </c>
      <c r="C23" s="1">
        <f>SUMIF(Offtake_Chain_Zone!$B:$B,"Ratandeep",Offtake_Chain_Zone!P:P)</f>
      </c>
      <c r="D23" s="1">
        <f>SUMIF(Offtake_Chain_Zone!$B:$B,"Ratandeep",Offtake_Chain_Zone!Q:Q)</f>
      </c>
      <c r="E23" s="1">
        <f>SUMIF(Offtake_Chain_Zone!$B:$B,"Ratandeep",Offtake_Chain_Zone!R:R)</f>
      </c>
      <c r="F23" s="4">
        <f>E23/E$31</f>
      </c>
      <c r="G23" s="5">
        <f>AVERAGE(SUMIF(Offtake_Chain_Zone!$B:$B,"Ratandeep",Offtake_Chain_Zone!O:O),SUMIF(Offtake_Chain_Zone!$B:$B,"Ratandeep",Offtake_Chain_Zone!P:P),SUMIF(Offtake_Chain_Zone!$B:$B,"Ratandeep",Offtake_Chain_Zone!Q:Q))</f>
      </c>
      <c r="H23" s="2">
        <f>SUMIF(Offtake_Chain_Zone!$B:$B,"Ratandeep",Offtake_Chain_Zone!R:R)/AVERAGE(SUMIF(Offtake_Chain_Zone!$B:$B,"Ratandeep",Offtake_Chain_Zone!O:O),SUMIF(Offtake_Chain_Zone!$B:$B,"Ratandeep",Offtake_Chain_Zone!P:P),SUMIF(Offtake_Chain_Zone!$B:$B,"Ratandeep",Offtake_Chain_Zone!Q:Q))-1</f>
      </c>
      <c r="I23" s="2">
        <f>SUMIF(Offtake_Chain_Zone!$B:$B,"Ratandeep",Offtake_Chain_Zone!R:R)/SUMIF(Offtake_Chain_Zone!$B:$B,"Ratandeep",Offtake_Chain_Zone!Q:Q)-1</f>
      </c>
      <c r="J23" s="2">
        <f>SUMIF(Offtake_Chain_Zone!$B:$B,"Ratandeep",Offtake_Chain_Zone!R:R)/SUMIF(Offtake_Chain_Zone!$B:$B,"Ratandeep",Offtake_Chain_Zone!F:F)-1</f>
      </c>
      <c r="K23" s="1">
        <f>(SUMIF(Offtake_Chain_Zone!$B:$B,"Ratandeep",Offtake_Chain_Zone!D:D)+SUMIF(Offtake_Chain_Zone!$B:$B,"Ratandeep",Offtake_Chain_Zone!E:E)+SUMIF(Offtake_Chain_Zone!$B:$B,"Ratandeep",Offtake_Chain_Zone!F:F))</f>
      </c>
      <c r="L23" s="1">
        <f>(SUMIF(Offtake_Chain_Zone!$B:$B,"Ratandeep",Offtake_Chain_Zone!P:P)+SUMIF(Offtake_Chain_Zone!$B:$B,"Ratandeep",Offtake_Chain_Zone!Q:Q)+SUMIF(Offtake_Chain_Zone!$B:$B,"Ratandeep",Offtake_Chain_Zone!R:R))</f>
      </c>
      <c r="M23" s="2">
        <f>(SUMIF(Offtake_Chain_Zone!$B:$B,"Ratandeep",Offtake_Chain_Zone!P:P)+SUMIF(Offtake_Chain_Zone!$B:$B,"Ratandeep",Offtake_Chain_Zone!Q:Q)+SUMIF(Offtake_Chain_Zone!$B:$B,"Ratandeep",Offtake_Chain_Zone!R:R))/(SUMIF(Offtake_Chain_Zone!$B:$B,"Ratandeep",Offtake_Chain_Zone!D:D)+SUMIF(Offtake_Chain_Zone!$B:$B,"Ratandeep",Offtake_Chain_Zone!E:E)+SUMIF(Offtake_Chain_Zone!$B:$B,"Ratandeep",Offtake_Chain_Zone!F:F))-1</f>
      </c>
    </row>
    <row r="24">
      <c r="A24" t="str">
        <v>Sumo Save</v>
      </c>
      <c r="B24" s="1">
        <f>SUMIF(Offtake_Chain_Zone!$B:$B,"Sumo Save",Offtake_Chain_Zone!F:F)</f>
      </c>
      <c r="C24" s="1">
        <f>SUMIF(Offtake_Chain_Zone!$B:$B,"Sumo Save",Offtake_Chain_Zone!P:P)</f>
      </c>
      <c r="D24" s="1">
        <f>SUMIF(Offtake_Chain_Zone!$B:$B,"Sumo Save",Offtake_Chain_Zone!Q:Q)</f>
      </c>
      <c r="E24" s="1">
        <f>SUMIF(Offtake_Chain_Zone!$B:$B,"Sumo Save",Offtake_Chain_Zone!R:R)</f>
      </c>
      <c r="F24" s="4">
        <f>E24/E$31</f>
      </c>
      <c r="G24" s="5">
        <f>AVERAGE(SUMIF(Offtake_Chain_Zone!$B:$B,"Sumo Save",Offtake_Chain_Zone!O:O),SUMIF(Offtake_Chain_Zone!$B:$B,"Sumo Save",Offtake_Chain_Zone!P:P),SUMIF(Offtake_Chain_Zone!$B:$B,"Sumo Save",Offtake_Chain_Zone!Q:Q))</f>
      </c>
      <c r="H24" s="2">
        <f>SUMIF(Offtake_Chain_Zone!$B:$B,"Sumo Save",Offtake_Chain_Zone!R:R)/AVERAGE(SUMIF(Offtake_Chain_Zone!$B:$B,"Sumo Save",Offtake_Chain_Zone!O:O),SUMIF(Offtake_Chain_Zone!$B:$B,"Sumo Save",Offtake_Chain_Zone!P:P),SUMIF(Offtake_Chain_Zone!$B:$B,"Sumo Save",Offtake_Chain_Zone!Q:Q))-1</f>
      </c>
      <c r="I24" s="2">
        <f>SUMIF(Offtake_Chain_Zone!$B:$B,"Sumo Save",Offtake_Chain_Zone!R:R)/SUMIF(Offtake_Chain_Zone!$B:$B,"Sumo Save",Offtake_Chain_Zone!Q:Q)-1</f>
      </c>
      <c r="J24" s="2">
        <f>SUMIF(Offtake_Chain_Zone!$B:$B,"Sumo Save",Offtake_Chain_Zone!R:R)/SUMIF(Offtake_Chain_Zone!$B:$B,"Sumo Save",Offtake_Chain_Zone!F:F)-1</f>
      </c>
      <c r="K24" s="1">
        <f>(SUMIF(Offtake_Chain_Zone!$B:$B,"Sumo Save",Offtake_Chain_Zone!D:D)+SUMIF(Offtake_Chain_Zone!$B:$B,"Sumo Save",Offtake_Chain_Zone!E:E)+SUMIF(Offtake_Chain_Zone!$B:$B,"Sumo Save",Offtake_Chain_Zone!F:F))</f>
      </c>
      <c r="L24" s="1">
        <f>(SUMIF(Offtake_Chain_Zone!$B:$B,"Sumo Save",Offtake_Chain_Zone!P:P)+SUMIF(Offtake_Chain_Zone!$B:$B,"Sumo Save",Offtake_Chain_Zone!Q:Q)+SUMIF(Offtake_Chain_Zone!$B:$B,"Sumo Save",Offtake_Chain_Zone!R:R))</f>
      </c>
      <c r="M24" s="2">
        <f>(SUMIF(Offtake_Chain_Zone!$B:$B,"Sumo Save",Offtake_Chain_Zone!P:P)+SUMIF(Offtake_Chain_Zone!$B:$B,"Sumo Save",Offtake_Chain_Zone!Q:Q)+SUMIF(Offtake_Chain_Zone!$B:$B,"Sumo Save",Offtake_Chain_Zone!R:R))/(SUMIF(Offtake_Chain_Zone!$B:$B,"Sumo Save",Offtake_Chain_Zone!D:D)+SUMIF(Offtake_Chain_Zone!$B:$B,"Sumo Save",Offtake_Chain_Zone!E:E)+SUMIF(Offtake_Chain_Zone!$B:$B,"Sumo Save",Offtake_Chain_Zone!F:F))-1</f>
      </c>
    </row>
    <row r="25">
      <c r="A25" t="str">
        <v>Guardian</v>
      </c>
      <c r="B25" s="1">
        <f>SUMIF(Offtake_Chain_Zone!$B:$B,"Guardian",Offtake_Chain_Zone!F:F)</f>
      </c>
      <c r="C25" s="1">
        <f>SUMIF(Offtake_Chain_Zone!$B:$B,"Guardian",Offtake_Chain_Zone!P:P)</f>
      </c>
      <c r="D25" s="1">
        <f>SUMIF(Offtake_Chain_Zone!$B:$B,"Guardian",Offtake_Chain_Zone!Q:Q)</f>
      </c>
      <c r="E25" s="1">
        <f>SUMIF(Offtake_Chain_Zone!$B:$B,"Guardian",Offtake_Chain_Zone!R:R)</f>
      </c>
      <c r="F25" s="4">
        <f>E25/E$31</f>
      </c>
      <c r="G25" s="5">
        <f>AVERAGE(SUMIF(Offtake_Chain_Zone!$B:$B,"Guardian",Offtake_Chain_Zone!O:O),SUMIF(Offtake_Chain_Zone!$B:$B,"Guardian",Offtake_Chain_Zone!P:P),SUMIF(Offtake_Chain_Zone!$B:$B,"Guardian",Offtake_Chain_Zone!Q:Q))</f>
      </c>
      <c r="H25" s="2">
        <f>SUMIF(Offtake_Chain_Zone!$B:$B,"Guardian",Offtake_Chain_Zone!R:R)/AVERAGE(SUMIF(Offtake_Chain_Zone!$B:$B,"Guardian",Offtake_Chain_Zone!O:O),SUMIF(Offtake_Chain_Zone!$B:$B,"Guardian",Offtake_Chain_Zone!P:P),SUMIF(Offtake_Chain_Zone!$B:$B,"Guardian",Offtake_Chain_Zone!Q:Q))-1</f>
      </c>
      <c r="I25" s="2">
        <f>SUMIF(Offtake_Chain_Zone!$B:$B,"Guardian",Offtake_Chain_Zone!R:R)/SUMIF(Offtake_Chain_Zone!$B:$B,"Guardian",Offtake_Chain_Zone!Q:Q)-1</f>
      </c>
      <c r="J25" s="2">
        <f>SUMIF(Offtake_Chain_Zone!$B:$B,"Guardian",Offtake_Chain_Zone!R:R)/SUMIF(Offtake_Chain_Zone!$B:$B,"Guardian",Offtake_Chain_Zone!F:F)-1</f>
      </c>
      <c r="K25" s="1">
        <f>(SUMIF(Offtake_Chain_Zone!$B:$B,"Guardian",Offtake_Chain_Zone!D:D)+SUMIF(Offtake_Chain_Zone!$B:$B,"Guardian",Offtake_Chain_Zone!E:E)+SUMIF(Offtake_Chain_Zone!$B:$B,"Guardian",Offtake_Chain_Zone!F:F))</f>
      </c>
      <c r="L25" s="1">
        <f>(SUMIF(Offtake_Chain_Zone!$B:$B,"Guardian",Offtake_Chain_Zone!P:P)+SUMIF(Offtake_Chain_Zone!$B:$B,"Guardian",Offtake_Chain_Zone!Q:Q)+SUMIF(Offtake_Chain_Zone!$B:$B,"Guardian",Offtake_Chain_Zone!R:R))</f>
      </c>
      <c r="M25" s="2">
        <f>(SUMIF(Offtake_Chain_Zone!$B:$B,"Guardian",Offtake_Chain_Zone!P:P)+SUMIF(Offtake_Chain_Zone!$B:$B,"Guardian",Offtake_Chain_Zone!Q:Q)+SUMIF(Offtake_Chain_Zone!$B:$B,"Guardian",Offtake_Chain_Zone!R:R))/(SUMIF(Offtake_Chain_Zone!$B:$B,"Guardian",Offtake_Chain_Zone!D:D)+SUMIF(Offtake_Chain_Zone!$B:$B,"Guardian",Offtake_Chain_Zone!E:E)+SUMIF(Offtake_Chain_Zone!$B:$B,"Guardian",Offtake_Chain_Zone!F:F))-1</f>
      </c>
    </row>
    <row r="26">
      <c r="A26" t="str">
        <v>Sasta Sundar</v>
      </c>
      <c r="B26" s="1">
        <f>SUMIF(Offtake_Chain_Zone!$B:$B,"Sasta Sundar",Offtake_Chain_Zone!F:F)</f>
      </c>
      <c r="C26" s="1">
        <f>SUMIF(Offtake_Chain_Zone!$B:$B,"Sasta Sundar",Offtake_Chain_Zone!P:P)</f>
      </c>
      <c r="D26" s="1">
        <f>SUMIF(Offtake_Chain_Zone!$B:$B,"Sasta Sundar",Offtake_Chain_Zone!Q:Q)</f>
      </c>
      <c r="E26" s="1">
        <f>SUMIF(Offtake_Chain_Zone!$B:$B,"Sasta Sundar",Offtake_Chain_Zone!R:R)</f>
      </c>
      <c r="F26" s="4">
        <f>E26/E$31</f>
      </c>
      <c r="G26" s="5">
        <f>AVERAGE(SUMIF(Offtake_Chain_Zone!$B:$B,"Sasta Sundar",Offtake_Chain_Zone!O:O),SUMIF(Offtake_Chain_Zone!$B:$B,"Sasta Sundar",Offtake_Chain_Zone!P:P),SUMIF(Offtake_Chain_Zone!$B:$B,"Sasta Sundar",Offtake_Chain_Zone!Q:Q))</f>
      </c>
      <c r="H26" s="2">
        <f>SUMIF(Offtake_Chain_Zone!$B:$B,"Sasta Sundar",Offtake_Chain_Zone!R:R)/AVERAGE(SUMIF(Offtake_Chain_Zone!$B:$B,"Sasta Sundar",Offtake_Chain_Zone!O:O),SUMIF(Offtake_Chain_Zone!$B:$B,"Sasta Sundar",Offtake_Chain_Zone!P:P),SUMIF(Offtake_Chain_Zone!$B:$B,"Sasta Sundar",Offtake_Chain_Zone!Q:Q))-1</f>
      </c>
      <c r="I26" s="2">
        <f>SUMIF(Offtake_Chain_Zone!$B:$B,"Sasta Sundar",Offtake_Chain_Zone!R:R)/SUMIF(Offtake_Chain_Zone!$B:$B,"Sasta Sundar",Offtake_Chain_Zone!Q:Q)-1</f>
      </c>
      <c r="J26" s="2">
        <f>SUMIF(Offtake_Chain_Zone!$B:$B,"Sasta Sundar",Offtake_Chain_Zone!R:R)/SUMIF(Offtake_Chain_Zone!$B:$B,"Sasta Sundar",Offtake_Chain_Zone!F:F)-1</f>
      </c>
      <c r="K26" s="1">
        <f>(SUMIF(Offtake_Chain_Zone!$B:$B,"Sasta Sundar",Offtake_Chain_Zone!D:D)+SUMIF(Offtake_Chain_Zone!$B:$B,"Sasta Sundar",Offtake_Chain_Zone!E:E)+SUMIF(Offtake_Chain_Zone!$B:$B,"Sasta Sundar",Offtake_Chain_Zone!F:F))</f>
      </c>
      <c r="L26" s="1">
        <f>(SUMIF(Offtake_Chain_Zone!$B:$B,"Sasta Sundar",Offtake_Chain_Zone!P:P)+SUMIF(Offtake_Chain_Zone!$B:$B,"Sasta Sundar",Offtake_Chain_Zone!Q:Q)+SUMIF(Offtake_Chain_Zone!$B:$B,"Sasta Sundar",Offtake_Chain_Zone!R:R))</f>
      </c>
      <c r="M26" s="2">
        <f>(SUMIF(Offtake_Chain_Zone!$B:$B,"Sasta Sundar",Offtake_Chain_Zone!P:P)+SUMIF(Offtake_Chain_Zone!$B:$B,"Sasta Sundar",Offtake_Chain_Zone!Q:Q)+SUMIF(Offtake_Chain_Zone!$B:$B,"Sasta Sundar",Offtake_Chain_Zone!R:R))/(SUMIF(Offtake_Chain_Zone!$B:$B,"Sasta Sundar",Offtake_Chain_Zone!D:D)+SUMIF(Offtake_Chain_Zone!$B:$B,"Sasta Sundar",Offtake_Chain_Zone!E:E)+SUMIF(Offtake_Chain_Zone!$B:$B,"Sasta Sundar",Offtake_Chain_Zone!F:F))-1</f>
      </c>
    </row>
    <row r="27">
      <c r="A27" t="str">
        <v>BEAUTY &amp; NUTRIE</v>
      </c>
      <c r="B27" s="1">
        <f>SUMIF(Offtake_Chain_Zone!$B:$B,"BEAUTY &amp; NUTRIE",Offtake_Chain_Zone!F:F)</f>
      </c>
      <c r="C27" s="1">
        <f>SUMIF(Offtake_Chain_Zone!$B:$B,"BEAUTY &amp; NUTRIE",Offtake_Chain_Zone!P:P)</f>
      </c>
      <c r="D27" s="1">
        <f>SUMIF(Offtake_Chain_Zone!$B:$B,"BEAUTY &amp; NUTRIE",Offtake_Chain_Zone!Q:Q)</f>
      </c>
      <c r="E27" s="1">
        <f>SUMIF(Offtake_Chain_Zone!$B:$B,"BEAUTY &amp; NUTRIE",Offtake_Chain_Zone!R:R)</f>
      </c>
      <c r="F27" s="4">
        <f>E27/E$31</f>
      </c>
      <c r="G27" s="5">
        <f>AVERAGE(SUMIF(Offtake_Chain_Zone!$B:$B,"BEAUTY &amp; NUTRIE",Offtake_Chain_Zone!O:O),SUMIF(Offtake_Chain_Zone!$B:$B,"BEAUTY &amp; NUTRIE",Offtake_Chain_Zone!P:P),SUMIF(Offtake_Chain_Zone!$B:$B,"BEAUTY &amp; NUTRIE",Offtake_Chain_Zone!Q:Q))</f>
      </c>
      <c r="H27" s="2">
        <f>SUMIF(Offtake_Chain_Zone!$B:$B,"BEAUTY &amp; NUTRIE",Offtake_Chain_Zone!R:R)/AVERAGE(SUMIF(Offtake_Chain_Zone!$B:$B,"BEAUTY &amp; NUTRIE",Offtake_Chain_Zone!O:O),SUMIF(Offtake_Chain_Zone!$B:$B,"BEAUTY &amp; NUTRIE",Offtake_Chain_Zone!P:P),SUMIF(Offtake_Chain_Zone!$B:$B,"BEAUTY &amp; NUTRIE",Offtake_Chain_Zone!Q:Q))-1</f>
      </c>
      <c r="I27" s="2">
        <f>SUMIF(Offtake_Chain_Zone!$B:$B,"BEAUTY &amp; NUTRIE",Offtake_Chain_Zone!R:R)/SUMIF(Offtake_Chain_Zone!$B:$B,"BEAUTY &amp; NUTRIE",Offtake_Chain_Zone!Q:Q)-1</f>
      </c>
      <c r="J27" s="2">
        <f>SUMIF(Offtake_Chain_Zone!$B:$B,"BEAUTY &amp; NUTRIE",Offtake_Chain_Zone!R:R)/SUMIF(Offtake_Chain_Zone!$B:$B,"BEAUTY &amp; NUTRIE",Offtake_Chain_Zone!F:F)-1</f>
      </c>
      <c r="K27" s="1">
        <f>(SUMIF(Offtake_Chain_Zone!$B:$B,"BEAUTY &amp; NUTRIE",Offtake_Chain_Zone!D:D)+SUMIF(Offtake_Chain_Zone!$B:$B,"BEAUTY &amp; NUTRIE",Offtake_Chain_Zone!E:E)+SUMIF(Offtake_Chain_Zone!$B:$B,"BEAUTY &amp; NUTRIE",Offtake_Chain_Zone!F:F))</f>
      </c>
      <c r="L27" s="1">
        <f>(SUMIF(Offtake_Chain_Zone!$B:$B,"BEAUTY &amp; NUTRIE",Offtake_Chain_Zone!P:P)+SUMIF(Offtake_Chain_Zone!$B:$B,"BEAUTY &amp; NUTRIE",Offtake_Chain_Zone!Q:Q)+SUMIF(Offtake_Chain_Zone!$B:$B,"BEAUTY &amp; NUTRIE",Offtake_Chain_Zone!R:R))</f>
      </c>
      <c r="M27" s="2">
        <f>(SUMIF(Offtake_Chain_Zone!$B:$B,"BEAUTY &amp; NUTRIE",Offtake_Chain_Zone!P:P)+SUMIF(Offtake_Chain_Zone!$B:$B,"BEAUTY &amp; NUTRIE",Offtake_Chain_Zone!Q:Q)+SUMIF(Offtake_Chain_Zone!$B:$B,"BEAUTY &amp; NUTRIE",Offtake_Chain_Zone!R:R))/(SUMIF(Offtake_Chain_Zone!$B:$B,"BEAUTY &amp; NUTRIE",Offtake_Chain_Zone!D:D)+SUMIF(Offtake_Chain_Zone!$B:$B,"BEAUTY &amp; NUTRIE",Offtake_Chain_Zone!E:E)+SUMIF(Offtake_Chain_Zone!$B:$B,"BEAUTY &amp; NUTRIE",Offtake_Chain_Zone!F:F))-1</f>
      </c>
    </row>
    <row r="28">
      <c r="A28" t="str">
        <v>Apna Mart</v>
      </c>
      <c r="B28" s="1">
        <f>SUMIF(Offtake_Chain_Zone!$B:$B,"Apna Mart",Offtake_Chain_Zone!F:F)</f>
      </c>
      <c r="C28" s="1">
        <f>SUMIF(Offtake_Chain_Zone!$B:$B,"Apna Mart",Offtake_Chain_Zone!P:P)</f>
      </c>
      <c r="D28" s="1">
        <f>SUMIF(Offtake_Chain_Zone!$B:$B,"Apna Mart",Offtake_Chain_Zone!Q:Q)</f>
      </c>
      <c r="E28" s="1">
        <f>SUMIF(Offtake_Chain_Zone!$B:$B,"Apna Mart",Offtake_Chain_Zone!R:R)</f>
      </c>
      <c r="F28" s="4">
        <f>E28/E$31</f>
      </c>
      <c r="G28" s="5">
        <f>AVERAGE(SUMIF(Offtake_Chain_Zone!$B:$B,"Apna Mart",Offtake_Chain_Zone!O:O),SUMIF(Offtake_Chain_Zone!$B:$B,"Apna Mart",Offtake_Chain_Zone!P:P),SUMIF(Offtake_Chain_Zone!$B:$B,"Apna Mart",Offtake_Chain_Zone!Q:Q))</f>
      </c>
      <c r="H28" s="2">
        <f>SUMIF(Offtake_Chain_Zone!$B:$B,"Apna Mart",Offtake_Chain_Zone!R:R)/AVERAGE(SUMIF(Offtake_Chain_Zone!$B:$B,"Apna Mart",Offtake_Chain_Zone!O:O),SUMIF(Offtake_Chain_Zone!$B:$B,"Apna Mart",Offtake_Chain_Zone!P:P),SUMIF(Offtake_Chain_Zone!$B:$B,"Apna Mart",Offtake_Chain_Zone!Q:Q))-1</f>
      </c>
      <c r="I28" s="2">
        <f>SUMIF(Offtake_Chain_Zone!$B:$B,"Apna Mart",Offtake_Chain_Zone!R:R)/SUMIF(Offtake_Chain_Zone!$B:$B,"Apna Mart",Offtake_Chain_Zone!Q:Q)-1</f>
      </c>
      <c r="J28" s="2">
        <f>SUMIF(Offtake_Chain_Zone!$B:$B,"Apna Mart",Offtake_Chain_Zone!R:R)/SUMIF(Offtake_Chain_Zone!$B:$B,"Apna Mart",Offtake_Chain_Zone!F:F)-1</f>
      </c>
      <c r="K28" s="1">
        <f>(SUMIF(Offtake_Chain_Zone!$B:$B,"Apna Mart",Offtake_Chain_Zone!D:D)+SUMIF(Offtake_Chain_Zone!$B:$B,"Apna Mart",Offtake_Chain_Zone!E:E)+SUMIF(Offtake_Chain_Zone!$B:$B,"Apna Mart",Offtake_Chain_Zone!F:F))</f>
      </c>
      <c r="L28" s="1">
        <f>(SUMIF(Offtake_Chain_Zone!$B:$B,"Apna Mart",Offtake_Chain_Zone!P:P)+SUMIF(Offtake_Chain_Zone!$B:$B,"Apna Mart",Offtake_Chain_Zone!Q:Q)+SUMIF(Offtake_Chain_Zone!$B:$B,"Apna Mart",Offtake_Chain_Zone!R:R))</f>
      </c>
      <c r="M28" s="2">
        <f>(SUMIF(Offtake_Chain_Zone!$B:$B,"Apna Mart",Offtake_Chain_Zone!P:P)+SUMIF(Offtake_Chain_Zone!$B:$B,"Apna Mart",Offtake_Chain_Zone!Q:Q)+SUMIF(Offtake_Chain_Zone!$B:$B,"Apna Mart",Offtake_Chain_Zone!R:R))/(SUMIF(Offtake_Chain_Zone!$B:$B,"Apna Mart",Offtake_Chain_Zone!D:D)+SUMIF(Offtake_Chain_Zone!$B:$B,"Apna Mart",Offtake_Chain_Zone!E:E)+SUMIF(Offtake_Chain_Zone!$B:$B,"Apna Mart",Offtake_Chain_Zone!F:F))-1</f>
      </c>
    </row>
    <row r="29">
      <c r="A29" t="str">
        <v>Wh-Smith</v>
      </c>
      <c r="B29" s="1">
        <f>SUMIF(Offtake_Chain_Zone!$B:$B,"Wh-Smith",Offtake_Chain_Zone!F:F)</f>
      </c>
      <c r="C29" s="1">
        <f>SUMIF(Offtake_Chain_Zone!$B:$B,"Wh-Smith",Offtake_Chain_Zone!P:P)</f>
      </c>
      <c r="D29" s="1">
        <f>SUMIF(Offtake_Chain_Zone!$B:$B,"Wh-Smith",Offtake_Chain_Zone!Q:Q)</f>
      </c>
      <c r="E29" s="1">
        <f>SUMIF(Offtake_Chain_Zone!$B:$B,"Wh-Smith",Offtake_Chain_Zone!R:R)</f>
      </c>
      <c r="F29" s="4">
        <f>E29/E$31</f>
      </c>
      <c r="G29" s="5">
        <f>AVERAGE(SUMIF(Offtake_Chain_Zone!$B:$B,"Wh-Smith",Offtake_Chain_Zone!O:O),SUMIF(Offtake_Chain_Zone!$B:$B,"Wh-Smith",Offtake_Chain_Zone!P:P),SUMIF(Offtake_Chain_Zone!$B:$B,"Wh-Smith",Offtake_Chain_Zone!Q:Q))</f>
      </c>
      <c r="H29" s="2">
        <f>SUMIF(Offtake_Chain_Zone!$B:$B,"Wh-Smith",Offtake_Chain_Zone!R:R)/AVERAGE(SUMIF(Offtake_Chain_Zone!$B:$B,"Wh-Smith",Offtake_Chain_Zone!O:O),SUMIF(Offtake_Chain_Zone!$B:$B,"Wh-Smith",Offtake_Chain_Zone!P:P),SUMIF(Offtake_Chain_Zone!$B:$B,"Wh-Smith",Offtake_Chain_Zone!Q:Q))-1</f>
      </c>
      <c r="I29" s="2">
        <f>SUMIF(Offtake_Chain_Zone!$B:$B,"Wh-Smith",Offtake_Chain_Zone!R:R)/SUMIF(Offtake_Chain_Zone!$B:$B,"Wh-Smith",Offtake_Chain_Zone!Q:Q)-1</f>
      </c>
      <c r="J29" s="2">
        <f>SUMIF(Offtake_Chain_Zone!$B:$B,"Wh-Smith",Offtake_Chain_Zone!R:R)/SUMIF(Offtake_Chain_Zone!$B:$B,"Wh-Smith",Offtake_Chain_Zone!F:F)-1</f>
      </c>
      <c r="K29" s="1">
        <f>(SUMIF(Offtake_Chain_Zone!$B:$B,"Wh-Smith",Offtake_Chain_Zone!D:D)+SUMIF(Offtake_Chain_Zone!$B:$B,"Wh-Smith",Offtake_Chain_Zone!E:E)+SUMIF(Offtake_Chain_Zone!$B:$B,"Wh-Smith",Offtake_Chain_Zone!F:F))</f>
      </c>
      <c r="L29" s="1">
        <f>(SUMIF(Offtake_Chain_Zone!$B:$B,"Wh-Smith",Offtake_Chain_Zone!P:P)+SUMIF(Offtake_Chain_Zone!$B:$B,"Wh-Smith",Offtake_Chain_Zone!Q:Q)+SUMIF(Offtake_Chain_Zone!$B:$B,"Wh-Smith",Offtake_Chain_Zone!R:R))</f>
      </c>
      <c r="M29" s="2">
        <f>(SUMIF(Offtake_Chain_Zone!$B:$B,"Wh-Smith",Offtake_Chain_Zone!P:P)+SUMIF(Offtake_Chain_Zone!$B:$B,"Wh-Smith",Offtake_Chain_Zone!Q:Q)+SUMIF(Offtake_Chain_Zone!$B:$B,"Wh-Smith",Offtake_Chain_Zone!R:R))/(SUMIF(Offtake_Chain_Zone!$B:$B,"Wh-Smith",Offtake_Chain_Zone!D:D)+SUMIF(Offtake_Chain_Zone!$B:$B,"Wh-Smith",Offtake_Chain_Zone!E:E)+SUMIF(Offtake_Chain_Zone!$B:$B,"Wh-Smith",Offtake_Chain_Zone!F:F))-1</f>
      </c>
    </row>
    <row r="30">
      <c r="A30" t="str">
        <v>Vijetha</v>
      </c>
      <c r="B30" s="1">
        <f>SUMIF(Offtake_Chain_Zone!$B:$B,"Vijetha",Offtake_Chain_Zone!F:F)</f>
      </c>
      <c r="C30" s="1">
        <f>SUMIF(Offtake_Chain_Zone!$B:$B,"Vijetha",Offtake_Chain_Zone!P:P)</f>
      </c>
      <c r="D30" s="1">
        <f>SUMIF(Offtake_Chain_Zone!$B:$B,"Vijetha",Offtake_Chain_Zone!Q:Q)</f>
      </c>
      <c r="E30" s="1">
        <f>SUMIF(Offtake_Chain_Zone!$B:$B,"Vijetha",Offtake_Chain_Zone!R:R)</f>
      </c>
      <c r="F30" s="4">
        <f>E30/E$31</f>
      </c>
      <c r="G30" s="5">
        <f>AVERAGE(SUMIF(Offtake_Chain_Zone!$B:$B,"Vijetha",Offtake_Chain_Zone!O:O),SUMIF(Offtake_Chain_Zone!$B:$B,"Vijetha",Offtake_Chain_Zone!P:P),SUMIF(Offtake_Chain_Zone!$B:$B,"Vijetha",Offtake_Chain_Zone!Q:Q))</f>
      </c>
      <c r="H30" s="2">
        <f>SUMIF(Offtake_Chain_Zone!$B:$B,"Vijetha",Offtake_Chain_Zone!R:R)/AVERAGE(SUMIF(Offtake_Chain_Zone!$B:$B,"Vijetha",Offtake_Chain_Zone!O:O),SUMIF(Offtake_Chain_Zone!$B:$B,"Vijetha",Offtake_Chain_Zone!P:P),SUMIF(Offtake_Chain_Zone!$B:$B,"Vijetha",Offtake_Chain_Zone!Q:Q))-1</f>
      </c>
      <c r="I30" s="2">
        <f>SUMIF(Offtake_Chain_Zone!$B:$B,"Vijetha",Offtake_Chain_Zone!R:R)/SUMIF(Offtake_Chain_Zone!$B:$B,"Vijetha",Offtake_Chain_Zone!Q:Q)-1</f>
      </c>
      <c r="J30" s="2">
        <f>SUMIF(Offtake_Chain_Zone!$B:$B,"Vijetha",Offtake_Chain_Zone!R:R)/SUMIF(Offtake_Chain_Zone!$B:$B,"Vijetha",Offtake_Chain_Zone!F:F)-1</f>
      </c>
      <c r="K30" s="1">
        <f>(SUMIF(Offtake_Chain_Zone!$B:$B,"Vijetha",Offtake_Chain_Zone!D:D)+SUMIF(Offtake_Chain_Zone!$B:$B,"Vijetha",Offtake_Chain_Zone!E:E)+SUMIF(Offtake_Chain_Zone!$B:$B,"Vijetha",Offtake_Chain_Zone!F:F))</f>
      </c>
      <c r="L30" s="1">
        <f>(SUMIF(Offtake_Chain_Zone!$B:$B,"Vijetha",Offtake_Chain_Zone!P:P)+SUMIF(Offtake_Chain_Zone!$B:$B,"Vijetha",Offtake_Chain_Zone!Q:Q)+SUMIF(Offtake_Chain_Zone!$B:$B,"Vijetha",Offtake_Chain_Zone!R:R))</f>
      </c>
      <c r="M30" s="2">
        <f>(SUMIF(Offtake_Chain_Zone!$B:$B,"Vijetha",Offtake_Chain_Zone!P:P)+SUMIF(Offtake_Chain_Zone!$B:$B,"Vijetha",Offtake_Chain_Zone!Q:Q)+SUMIF(Offtake_Chain_Zone!$B:$B,"Vijetha",Offtake_Chain_Zone!R:R))/(SUMIF(Offtake_Chain_Zone!$B:$B,"Vijetha",Offtake_Chain_Zone!D:D)+SUMIF(Offtake_Chain_Zone!$B:$B,"Vijetha",Offtake_Chain_Zone!E:E)+SUMIF(Offtake_Chain_Zone!$B:$B,"Vijetha",Offtake_Chain_Zone!F:F))-1</f>
      </c>
    </row>
    <row r="31">
      <c r="A31" t="str">
        <v>TOTAL</v>
      </c>
      <c r="B31" s="1">
        <f>SUM(Offtake_Chain_Zone!F2:F200)</f>
      </c>
      <c r="C31" s="1">
        <f>SUM(Offtake_Chain_Zone!P2:P200)</f>
      </c>
      <c r="D31" s="1">
        <f>SUM(Offtake_Chain_Zone!Q2:Q200)</f>
      </c>
      <c r="E31" s="1">
        <f>SUM(Offtake_Chain_Zone!R2:R200)</f>
      </c>
      <c r="F31" s="4">
        <f>E31/E$31</f>
      </c>
      <c r="G31" s="5">
        <f>AVERAGE(SUM(Offtake_Chain_Zone!O2:O200),SUM(Offtake_Chain_Zone!P2:P200),SUM(Offtake_Chain_Zone!Q2:Q200))</f>
      </c>
      <c r="H31" s="2">
        <f>SUM(Offtake_Chain_Zone!R2:R200)/AVERAGE(SUM(Offtake_Chain_Zone!O2:O200),SUM(Offtake_Chain_Zone!P2:P200),SUM(Offtake_Chain_Zone!Q2:Q200))-1</f>
      </c>
      <c r="I31" s="2">
        <f>SUM(Offtake_Chain_Zone!R2:R200)/SUM(Offtake_Chain_Zone!Q2:Q200)-1</f>
      </c>
      <c r="J31" s="2">
        <f>SUM(Offtake_Chain_Zone!R2:R200)/SUM(Offtake_Chain_Zone!F2:F200)-1</f>
      </c>
      <c r="K31" s="1">
        <f>(SUM(Offtake_Chain_Zone!D2:D200)+SUM(Offtake_Chain_Zone!E2:E200)+SUM(Offtake_Chain_Zone!F2:F200))</f>
      </c>
      <c r="L31" s="1">
        <f>(SUM(Offtake_Chain_Zone!P2:P200)+SUM(Offtake_Chain_Zone!Q2:Q200)+SUM(Offtake_Chain_Zone!R2:R200))</f>
      </c>
      <c r="M31" s="2">
        <f>(SUM(Offtake_Chain_Zone!P2:P200)+SUM(Offtake_Chain_Zone!Q2:Q200)+SUM(Offtake_Chain_Zone!R2:R200))/(SUM(Offtake_Chain_Zone!D2:D200)+SUM(Offtake_Chain_Zone!E2:E200)+SUM(Offtake_Chain_Zone!F2:F200))-1</f>
      </c>
    </row>
  </sheetData>
  <ignoredErrors>
    <ignoredError numberStoredAsText="1" sqref="A1:O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cols>
    <col min="1" max="1" width="22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</cols>
  <sheetData>
    <row r="1">
      <c r="A1" t="str">
        <v>BRAND &amp; SUB-CATEGORY SUMMARY — Jun'26 &amp; Q1 FY27 (MT + EB2B offtake)</v>
      </c>
    </row>
    <row r="2">
      <c r="A2" t="str">
        <v>All values ₹ Lacs NSV. Live formulas — refresh with raw-sheet edits. L3M = Mar–May'26 avg; GOLY = vs same month LY; Q1 = Apr–Jun.</v>
      </c>
    </row>
    <row r="4">
      <c r="A4" t="str">
        <v/>
      </c>
      <c r="B4" t="str">
        <v>Jun-25</v>
      </c>
      <c r="C4" t="str">
        <v>Apr-26</v>
      </c>
      <c r="D4" t="str">
        <v>May-26</v>
      </c>
      <c r="E4" t="str">
        <v>Jun-26</v>
      </c>
      <c r="F4" t="str">
        <v>Share % Jun'26</v>
      </c>
      <c r="G4" t="str">
        <v>L3M Avg</v>
      </c>
      <c r="H4" t="str">
        <v>GO L3M %</v>
      </c>
      <c r="I4" t="str">
        <v>MoM %</v>
      </c>
      <c r="J4" t="str">
        <v>GOLY %</v>
      </c>
      <c r="K4" t="str">
        <v>Q1 FY26</v>
      </c>
      <c r="L4" t="str">
        <v>Q1 FY27</v>
      </c>
      <c r="M4" t="str">
        <v>Q1 Growth %</v>
      </c>
    </row>
    <row r="5">
      <c r="A5" t="str">
        <v>Mamaearth</v>
      </c>
      <c r="B5" s="1">
        <f>SUMIF(Offtake_Brand_SubCat_Zone!$B:$B,"Mamaearth",Offtake_Brand_SubCat_Zone!G:G)</f>
      </c>
      <c r="C5" s="1">
        <f>SUMIF(Offtake_Brand_SubCat_Zone!$B:$B,"Mamaearth",Offtake_Brand_SubCat_Zone!Q:Q)</f>
      </c>
      <c r="D5" s="1">
        <f>SUMIF(Offtake_Brand_SubCat_Zone!$B:$B,"Mamaearth",Offtake_Brand_SubCat_Zone!R:R)</f>
      </c>
      <c r="E5" s="1">
        <f>SUMIF(Offtake_Brand_SubCat_Zone!$B:$B,"Mamaearth",Offtake_Brand_SubCat_Zone!S:S)</f>
      </c>
      <c r="F5" s="4">
        <f>E5/E$9</f>
      </c>
      <c r="G5" s="5">
        <f>AVERAGE(SUMIF(Offtake_Brand_SubCat_Zone!$B:$B,"Mamaearth",Offtake_Brand_SubCat_Zone!P:P),SUMIF(Offtake_Brand_SubCat_Zone!$B:$B,"Mamaearth",Offtake_Brand_SubCat_Zone!Q:Q),SUMIF(Offtake_Brand_SubCat_Zone!$B:$B,"Mamaearth",Offtake_Brand_SubCat_Zone!R:R))</f>
      </c>
      <c r="H5" s="2">
        <f>SUMIF(Offtake_Brand_SubCat_Zone!$B:$B,"Mamaearth",Offtake_Brand_SubCat_Zone!S:S)/AVERAGE(SUMIF(Offtake_Brand_SubCat_Zone!$B:$B,"Mamaearth",Offtake_Brand_SubCat_Zone!P:P),SUMIF(Offtake_Brand_SubCat_Zone!$B:$B,"Mamaearth",Offtake_Brand_SubCat_Zone!Q:Q),SUMIF(Offtake_Brand_SubCat_Zone!$B:$B,"Mamaearth",Offtake_Brand_SubCat_Zone!R:R))-1</f>
      </c>
      <c r="I5" s="2">
        <f>SUMIF(Offtake_Brand_SubCat_Zone!$B:$B,"Mamaearth",Offtake_Brand_SubCat_Zone!S:S)/SUMIF(Offtake_Brand_SubCat_Zone!$B:$B,"Mamaearth",Offtake_Brand_SubCat_Zone!R:R)-1</f>
      </c>
      <c r="J5" s="2">
        <f>SUMIF(Offtake_Brand_SubCat_Zone!$B:$B,"Mamaearth",Offtake_Brand_SubCat_Zone!S:S)/SUMIF(Offtake_Brand_SubCat_Zone!$B:$B,"Mamaearth",Offtake_Brand_SubCat_Zone!G:G)-1</f>
      </c>
      <c r="K5" s="1">
        <f>(SUMIF(Offtake_Brand_SubCat_Zone!$B:$B,"Mamaearth",Offtake_Brand_SubCat_Zone!E:E)+SUMIF(Offtake_Brand_SubCat_Zone!$B:$B,"Mamaearth",Offtake_Brand_SubCat_Zone!F:F)+SUMIF(Offtake_Brand_SubCat_Zone!$B:$B,"Mamaearth",Offtake_Brand_SubCat_Zone!G:G))</f>
      </c>
      <c r="L5" s="1">
        <f>(SUMIF(Offtake_Brand_SubCat_Zone!$B:$B,"Mamaearth",Offtake_Brand_SubCat_Zone!Q:Q)+SUMIF(Offtake_Brand_SubCat_Zone!$B:$B,"Mamaearth",Offtake_Brand_SubCat_Zone!R:R)+SUMIF(Offtake_Brand_SubCat_Zone!$B:$B,"Mamaearth",Offtake_Brand_SubCat_Zone!S:S))</f>
      </c>
      <c r="M5" s="2">
        <f>(SUMIF(Offtake_Brand_SubCat_Zone!$B:$B,"Mamaearth",Offtake_Brand_SubCat_Zone!Q:Q)+SUMIF(Offtake_Brand_SubCat_Zone!$B:$B,"Mamaearth",Offtake_Brand_SubCat_Zone!R:R)+SUMIF(Offtake_Brand_SubCat_Zone!$B:$B,"Mamaearth",Offtake_Brand_SubCat_Zone!S:S))/(SUMIF(Offtake_Brand_SubCat_Zone!$B:$B,"Mamaearth",Offtake_Brand_SubCat_Zone!E:E)+SUMIF(Offtake_Brand_SubCat_Zone!$B:$B,"Mamaearth",Offtake_Brand_SubCat_Zone!F:F)+SUMIF(Offtake_Brand_SubCat_Zone!$B:$B,"Mamaearth",Offtake_Brand_SubCat_Zone!G:G))-1</f>
      </c>
    </row>
    <row r="6">
      <c r="A6" t="str">
        <v>The Derma Co.</v>
      </c>
      <c r="B6" s="1">
        <f>SUMIF(Offtake_Brand_SubCat_Zone!$B:$B,"The Derma Co.",Offtake_Brand_SubCat_Zone!G:G)</f>
      </c>
      <c r="C6" s="1">
        <f>SUMIF(Offtake_Brand_SubCat_Zone!$B:$B,"The Derma Co.",Offtake_Brand_SubCat_Zone!Q:Q)</f>
      </c>
      <c r="D6" s="1">
        <f>SUMIF(Offtake_Brand_SubCat_Zone!$B:$B,"The Derma Co.",Offtake_Brand_SubCat_Zone!R:R)</f>
      </c>
      <c r="E6" s="1">
        <f>SUMIF(Offtake_Brand_SubCat_Zone!$B:$B,"The Derma Co.",Offtake_Brand_SubCat_Zone!S:S)</f>
      </c>
      <c r="F6" s="4">
        <f>E6/E$9</f>
      </c>
      <c r="G6" s="5">
        <f>AVERAGE(SUMIF(Offtake_Brand_SubCat_Zone!$B:$B,"The Derma Co.",Offtake_Brand_SubCat_Zone!P:P),SUMIF(Offtake_Brand_SubCat_Zone!$B:$B,"The Derma Co.",Offtake_Brand_SubCat_Zone!Q:Q),SUMIF(Offtake_Brand_SubCat_Zone!$B:$B,"The Derma Co.",Offtake_Brand_SubCat_Zone!R:R))</f>
      </c>
      <c r="H6" s="2">
        <f>SUMIF(Offtake_Brand_SubCat_Zone!$B:$B,"The Derma Co.",Offtake_Brand_SubCat_Zone!S:S)/AVERAGE(SUMIF(Offtake_Brand_SubCat_Zone!$B:$B,"The Derma Co.",Offtake_Brand_SubCat_Zone!P:P),SUMIF(Offtake_Brand_SubCat_Zone!$B:$B,"The Derma Co.",Offtake_Brand_SubCat_Zone!Q:Q),SUMIF(Offtake_Brand_SubCat_Zone!$B:$B,"The Derma Co.",Offtake_Brand_SubCat_Zone!R:R))-1</f>
      </c>
      <c r="I6" s="2">
        <f>SUMIF(Offtake_Brand_SubCat_Zone!$B:$B,"The Derma Co.",Offtake_Brand_SubCat_Zone!S:S)/SUMIF(Offtake_Brand_SubCat_Zone!$B:$B,"The Derma Co.",Offtake_Brand_SubCat_Zone!R:R)-1</f>
      </c>
      <c r="J6" s="2">
        <f>SUMIF(Offtake_Brand_SubCat_Zone!$B:$B,"The Derma Co.",Offtake_Brand_SubCat_Zone!S:S)/SUMIF(Offtake_Brand_SubCat_Zone!$B:$B,"The Derma Co.",Offtake_Brand_SubCat_Zone!G:G)-1</f>
      </c>
      <c r="K6" s="1">
        <f>(SUMIF(Offtake_Brand_SubCat_Zone!$B:$B,"The Derma Co.",Offtake_Brand_SubCat_Zone!E:E)+SUMIF(Offtake_Brand_SubCat_Zone!$B:$B,"The Derma Co.",Offtake_Brand_SubCat_Zone!F:F)+SUMIF(Offtake_Brand_SubCat_Zone!$B:$B,"The Derma Co.",Offtake_Brand_SubCat_Zone!G:G))</f>
      </c>
      <c r="L6" s="1">
        <f>(SUMIF(Offtake_Brand_SubCat_Zone!$B:$B,"The Derma Co.",Offtake_Brand_SubCat_Zone!Q:Q)+SUMIF(Offtake_Brand_SubCat_Zone!$B:$B,"The Derma Co.",Offtake_Brand_SubCat_Zone!R:R)+SUMIF(Offtake_Brand_SubCat_Zone!$B:$B,"The Derma Co.",Offtake_Brand_SubCat_Zone!S:S))</f>
      </c>
      <c r="M6" s="2">
        <f>(SUMIF(Offtake_Brand_SubCat_Zone!$B:$B,"The Derma Co.",Offtake_Brand_SubCat_Zone!Q:Q)+SUMIF(Offtake_Brand_SubCat_Zone!$B:$B,"The Derma Co.",Offtake_Brand_SubCat_Zone!R:R)+SUMIF(Offtake_Brand_SubCat_Zone!$B:$B,"The Derma Co.",Offtake_Brand_SubCat_Zone!S:S))/(SUMIF(Offtake_Brand_SubCat_Zone!$B:$B,"The Derma Co.",Offtake_Brand_SubCat_Zone!E:E)+SUMIF(Offtake_Brand_SubCat_Zone!$B:$B,"The Derma Co.",Offtake_Brand_SubCat_Zone!F:F)+SUMIF(Offtake_Brand_SubCat_Zone!$B:$B,"The Derma Co.",Offtake_Brand_SubCat_Zone!G:G))-1</f>
      </c>
    </row>
    <row r="7">
      <c r="A7" t="str">
        <v>Aqualogica</v>
      </c>
      <c r="B7" s="1">
        <f>SUMIF(Offtake_Brand_SubCat_Zone!$B:$B,"Aqualogica",Offtake_Brand_SubCat_Zone!G:G)</f>
      </c>
      <c r="C7" s="1">
        <f>SUMIF(Offtake_Brand_SubCat_Zone!$B:$B,"Aqualogica",Offtake_Brand_SubCat_Zone!Q:Q)</f>
      </c>
      <c r="D7" s="1">
        <f>SUMIF(Offtake_Brand_SubCat_Zone!$B:$B,"Aqualogica",Offtake_Brand_SubCat_Zone!R:R)</f>
      </c>
      <c r="E7" s="1">
        <f>SUMIF(Offtake_Brand_SubCat_Zone!$B:$B,"Aqualogica",Offtake_Brand_SubCat_Zone!S:S)</f>
      </c>
      <c r="F7" s="4">
        <f>E7/E$9</f>
      </c>
      <c r="G7" s="5">
        <f>AVERAGE(SUMIF(Offtake_Brand_SubCat_Zone!$B:$B,"Aqualogica",Offtake_Brand_SubCat_Zone!P:P),SUMIF(Offtake_Brand_SubCat_Zone!$B:$B,"Aqualogica",Offtake_Brand_SubCat_Zone!Q:Q),SUMIF(Offtake_Brand_SubCat_Zone!$B:$B,"Aqualogica",Offtake_Brand_SubCat_Zone!R:R))</f>
      </c>
      <c r="H7" s="2">
        <f>SUMIF(Offtake_Brand_SubCat_Zone!$B:$B,"Aqualogica",Offtake_Brand_SubCat_Zone!S:S)/AVERAGE(SUMIF(Offtake_Brand_SubCat_Zone!$B:$B,"Aqualogica",Offtake_Brand_SubCat_Zone!P:P),SUMIF(Offtake_Brand_SubCat_Zone!$B:$B,"Aqualogica",Offtake_Brand_SubCat_Zone!Q:Q),SUMIF(Offtake_Brand_SubCat_Zone!$B:$B,"Aqualogica",Offtake_Brand_SubCat_Zone!R:R))-1</f>
      </c>
      <c r="I7" s="2">
        <f>SUMIF(Offtake_Brand_SubCat_Zone!$B:$B,"Aqualogica",Offtake_Brand_SubCat_Zone!S:S)/SUMIF(Offtake_Brand_SubCat_Zone!$B:$B,"Aqualogica",Offtake_Brand_SubCat_Zone!R:R)-1</f>
      </c>
      <c r="J7" s="2">
        <f>SUMIF(Offtake_Brand_SubCat_Zone!$B:$B,"Aqualogica",Offtake_Brand_SubCat_Zone!S:S)/SUMIF(Offtake_Brand_SubCat_Zone!$B:$B,"Aqualogica",Offtake_Brand_SubCat_Zone!G:G)-1</f>
      </c>
      <c r="K7" s="1">
        <f>(SUMIF(Offtake_Brand_SubCat_Zone!$B:$B,"Aqualogica",Offtake_Brand_SubCat_Zone!E:E)+SUMIF(Offtake_Brand_SubCat_Zone!$B:$B,"Aqualogica",Offtake_Brand_SubCat_Zone!F:F)+SUMIF(Offtake_Brand_SubCat_Zone!$B:$B,"Aqualogica",Offtake_Brand_SubCat_Zone!G:G))</f>
      </c>
      <c r="L7" s="1">
        <f>(SUMIF(Offtake_Brand_SubCat_Zone!$B:$B,"Aqualogica",Offtake_Brand_SubCat_Zone!Q:Q)+SUMIF(Offtake_Brand_SubCat_Zone!$B:$B,"Aqualogica",Offtake_Brand_SubCat_Zone!R:R)+SUMIF(Offtake_Brand_SubCat_Zone!$B:$B,"Aqualogica",Offtake_Brand_SubCat_Zone!S:S))</f>
      </c>
      <c r="M7" s="2">
        <f>(SUMIF(Offtake_Brand_SubCat_Zone!$B:$B,"Aqualogica",Offtake_Brand_SubCat_Zone!Q:Q)+SUMIF(Offtake_Brand_SubCat_Zone!$B:$B,"Aqualogica",Offtake_Brand_SubCat_Zone!R:R)+SUMIF(Offtake_Brand_SubCat_Zone!$B:$B,"Aqualogica",Offtake_Brand_SubCat_Zone!S:S))/(SUMIF(Offtake_Brand_SubCat_Zone!$B:$B,"Aqualogica",Offtake_Brand_SubCat_Zone!E:E)+SUMIF(Offtake_Brand_SubCat_Zone!$B:$B,"Aqualogica",Offtake_Brand_SubCat_Zone!F:F)+SUMIF(Offtake_Brand_SubCat_Zone!$B:$B,"Aqualogica",Offtake_Brand_SubCat_Zone!G:G))-1</f>
      </c>
    </row>
    <row r="8">
      <c r="A8" t="str">
        <v>Emerging Brands</v>
      </c>
      <c r="B8" s="1">
        <f>SUM(Offtake_Brand_SubCat_Zone!G2:G300)-SUMIF(Offtake_Brand_SubCat_Zone!$B:$B,"Mamaearth",Offtake_Brand_SubCat_Zone!G:G)-SUMIF(Offtake_Brand_SubCat_Zone!$B:$B,"The Derma Co.",Offtake_Brand_SubCat_Zone!G:G)-SUMIF(Offtake_Brand_SubCat_Zone!$B:$B,"Aqualogica",Offtake_Brand_SubCat_Zone!G:G)</f>
      </c>
      <c r="C8" s="1">
        <f>SUM(Offtake_Brand_SubCat_Zone!Q2:Q300)-SUMIF(Offtake_Brand_SubCat_Zone!$B:$B,"Mamaearth",Offtake_Brand_SubCat_Zone!Q:Q)-SUMIF(Offtake_Brand_SubCat_Zone!$B:$B,"The Derma Co.",Offtake_Brand_SubCat_Zone!Q:Q)-SUMIF(Offtake_Brand_SubCat_Zone!$B:$B,"Aqualogica",Offtake_Brand_SubCat_Zone!Q:Q)</f>
      </c>
      <c r="D8" s="1">
        <f>SUM(Offtake_Brand_SubCat_Zone!R2:R300)-SUMIF(Offtake_Brand_SubCat_Zone!$B:$B,"Mamaearth",Offtake_Brand_SubCat_Zone!R:R)-SUMIF(Offtake_Brand_SubCat_Zone!$B:$B,"The Derma Co.",Offtake_Brand_SubCat_Zone!R:R)-SUMIF(Offtake_Brand_SubCat_Zone!$B:$B,"Aqualogica",Offtake_Brand_SubCat_Zone!R:R)</f>
      </c>
      <c r="E8" s="1">
        <f>SUM(Offtake_Brand_SubCat_Zone!S2:S300)-SUMIF(Offtake_Brand_SubCat_Zone!$B:$B,"Mamaearth",Offtake_Brand_SubCat_Zone!S:S)-SUMIF(Offtake_Brand_SubCat_Zone!$B:$B,"The Derma Co.",Offtake_Brand_SubCat_Zone!S:S)-SUMIF(Offtake_Brand_SubCat_Zone!$B:$B,"Aqualogica",Offtake_Brand_SubCat_Zone!S:S)</f>
      </c>
      <c r="F8" s="4">
        <f>E8/E$9</f>
      </c>
      <c r="G8" s="5">
        <f>AVERAGE(SUM(Offtake_Brand_SubCat_Zone!P2:P300)-SUMIF(Offtake_Brand_SubCat_Zone!$B:$B,"Mamaearth",Offtake_Brand_SubCat_Zone!P:P)-SUMIF(Offtake_Brand_SubCat_Zone!$B:$B,"The Derma Co.",Offtake_Brand_SubCat_Zone!P:P)-SUMIF(Offtake_Brand_SubCat_Zone!$B:$B,"Aqualogica",Offtake_Brand_SubCat_Zone!P:P),SUM(Offtake_Brand_SubCat_Zone!Q2:Q300)-SUMIF(Offtake_Brand_SubCat_Zone!$B:$B,"Mamaearth",Offtake_Brand_SubCat_Zone!Q:Q)-SUMIF(Offtake_Brand_SubCat_Zone!$B:$B,"The Derma Co.",Offtake_Brand_SubCat_Zone!Q:Q)-SUMIF(Offtake_Brand_SubCat_Zone!$B:$B,"Aqualogica",Offtake_Brand_SubCat_Zone!Q:Q),SUM(Offtake_Brand_SubCat_Zone!R2:R300)-SUMIF(Offtake_Brand_SubCat_Zone!$B:$B,"Mamaearth",Offtake_Brand_SubCat_Zone!R:R)-SUMIF(Offtake_Brand_SubCat_Zone!$B:$B,"The Derma Co.",Offtake_Brand_SubCat_Zone!R:R)-SUMIF(Offtake_Brand_SubCat_Zone!$B:$B,"Aqualogica",Offtake_Brand_SubCat_Zone!R:R))</f>
      </c>
      <c r="H8" s="2">
        <f>SUM(Offtake_Brand_SubCat_Zone!S2:S300)-SUMIF(Offtake_Brand_SubCat_Zone!$B:$B,"Mamaearth",Offtake_Brand_SubCat_Zone!S:S)-SUMIF(Offtake_Brand_SubCat_Zone!$B:$B,"The Derma Co.",Offtake_Brand_SubCat_Zone!S:S)-SUMIF(Offtake_Brand_SubCat_Zone!$B:$B,"Aqualogica",Offtake_Brand_SubCat_Zone!S:S)/AVERAGE(SUM(Offtake_Brand_SubCat_Zone!P2:P300)-SUMIF(Offtake_Brand_SubCat_Zone!$B:$B,"Mamaearth",Offtake_Brand_SubCat_Zone!P:P)-SUMIF(Offtake_Brand_SubCat_Zone!$B:$B,"The Derma Co.",Offtake_Brand_SubCat_Zone!P:P)-SUMIF(Offtake_Brand_SubCat_Zone!$B:$B,"Aqualogica",Offtake_Brand_SubCat_Zone!P:P),SUM(Offtake_Brand_SubCat_Zone!Q2:Q300)-SUMIF(Offtake_Brand_SubCat_Zone!$B:$B,"Mamaearth",Offtake_Brand_SubCat_Zone!Q:Q)-SUMIF(Offtake_Brand_SubCat_Zone!$B:$B,"The Derma Co.",Offtake_Brand_SubCat_Zone!Q:Q)-SUMIF(Offtake_Brand_SubCat_Zone!$B:$B,"Aqualogica",Offtake_Brand_SubCat_Zone!Q:Q),SUM(Offtake_Brand_SubCat_Zone!R2:R300)-SUMIF(Offtake_Brand_SubCat_Zone!$B:$B,"Mamaearth",Offtake_Brand_SubCat_Zone!R:R)-SUMIF(Offtake_Brand_SubCat_Zone!$B:$B,"The Derma Co.",Offtake_Brand_SubCat_Zone!R:R)-SUMIF(Offtake_Brand_SubCat_Zone!$B:$B,"Aqualogica",Offtake_Brand_SubCat_Zone!R:R))-1</f>
      </c>
      <c r="I8" s="2">
        <f>SUM(Offtake_Brand_SubCat_Zone!S2:S300)-SUMIF(Offtake_Brand_SubCat_Zone!$B:$B,"Mamaearth",Offtake_Brand_SubCat_Zone!S:S)-SUMIF(Offtake_Brand_SubCat_Zone!$B:$B,"The Derma Co.",Offtake_Brand_SubCat_Zone!S:S)-SUMIF(Offtake_Brand_SubCat_Zone!$B:$B,"Aqualogica",Offtake_Brand_SubCat_Zone!S:S)/SUM(Offtake_Brand_SubCat_Zone!R2:R300)-SUMIF(Offtake_Brand_SubCat_Zone!$B:$B,"Mamaearth",Offtake_Brand_SubCat_Zone!R:R)-SUMIF(Offtake_Brand_SubCat_Zone!$B:$B,"The Derma Co.",Offtake_Brand_SubCat_Zone!R:R)-SUMIF(Offtake_Brand_SubCat_Zone!$B:$B,"Aqualogica",Offtake_Brand_SubCat_Zone!R:R)-1</f>
      </c>
      <c r="J8" s="2">
        <f>SUM(Offtake_Brand_SubCat_Zone!S2:S300)-SUMIF(Offtake_Brand_SubCat_Zone!$B:$B,"Mamaearth",Offtake_Brand_SubCat_Zone!S:S)-SUMIF(Offtake_Brand_SubCat_Zone!$B:$B,"The Derma Co.",Offtake_Brand_SubCat_Zone!S:S)-SUMIF(Offtake_Brand_SubCat_Zone!$B:$B,"Aqualogica",Offtake_Brand_SubCat_Zone!S:S)/SUM(Offtake_Brand_SubCat_Zone!G2:G300)-SUMIF(Offtake_Brand_SubCat_Zone!$B:$B,"Mamaearth",Offtake_Brand_SubCat_Zone!G:G)-SUMIF(Offtake_Brand_SubCat_Zone!$B:$B,"The Derma Co.",Offtake_Brand_SubCat_Zone!G:G)-SUMIF(Offtake_Brand_SubCat_Zone!$B:$B,"Aqualogica",Offtake_Brand_SubCat_Zone!G:G)-1</f>
      </c>
      <c r="K8" s="1">
        <f>(SUM(Offtake_Brand_SubCat_Zone!E2:E300)-SUMIF(Offtake_Brand_SubCat_Zone!$B:$B,"Mamaearth",Offtake_Brand_SubCat_Zone!E:E)-SUMIF(Offtake_Brand_SubCat_Zone!$B:$B,"The Derma Co.",Offtake_Brand_SubCat_Zone!E:E)-SUMIF(Offtake_Brand_SubCat_Zone!$B:$B,"Aqualogica",Offtake_Brand_SubCat_Zone!E:E)+SUM(Offtake_Brand_SubCat_Zone!F2:F300)-SUMIF(Offtake_Brand_SubCat_Zone!$B:$B,"Mamaearth",Offtake_Brand_SubCat_Zone!F:F)-SUMIF(Offtake_Brand_SubCat_Zone!$B:$B,"The Derma Co.",Offtake_Brand_SubCat_Zone!F:F)-SUMIF(Offtake_Brand_SubCat_Zone!$B:$B,"Aqualogica",Offtake_Brand_SubCat_Zone!F:F)+SUM(Offtake_Brand_SubCat_Zone!G2:G300)-SUMIF(Offtake_Brand_SubCat_Zone!$B:$B,"Mamaearth",Offtake_Brand_SubCat_Zone!G:G)-SUMIF(Offtake_Brand_SubCat_Zone!$B:$B,"The Derma Co.",Offtake_Brand_SubCat_Zone!G:G)-SUMIF(Offtake_Brand_SubCat_Zone!$B:$B,"Aqualogica",Offtake_Brand_SubCat_Zone!G:G))</f>
      </c>
      <c r="L8" s="1">
        <f>(SUM(Offtake_Brand_SubCat_Zone!Q2:Q300)-SUMIF(Offtake_Brand_SubCat_Zone!$B:$B,"Mamaearth",Offtake_Brand_SubCat_Zone!Q:Q)-SUMIF(Offtake_Brand_SubCat_Zone!$B:$B,"The Derma Co.",Offtake_Brand_SubCat_Zone!Q:Q)-SUMIF(Offtake_Brand_SubCat_Zone!$B:$B,"Aqualogica",Offtake_Brand_SubCat_Zone!Q:Q)+SUM(Offtake_Brand_SubCat_Zone!R2:R300)-SUMIF(Offtake_Brand_SubCat_Zone!$B:$B,"Mamaearth",Offtake_Brand_SubCat_Zone!R:R)-SUMIF(Offtake_Brand_SubCat_Zone!$B:$B,"The Derma Co.",Offtake_Brand_SubCat_Zone!R:R)-SUMIF(Offtake_Brand_SubCat_Zone!$B:$B,"Aqualogica",Offtake_Brand_SubCat_Zone!R:R)+SUM(Offtake_Brand_SubCat_Zone!S2:S300)-SUMIF(Offtake_Brand_SubCat_Zone!$B:$B,"Mamaearth",Offtake_Brand_SubCat_Zone!S:S)-SUMIF(Offtake_Brand_SubCat_Zone!$B:$B,"The Derma Co.",Offtake_Brand_SubCat_Zone!S:S)-SUMIF(Offtake_Brand_SubCat_Zone!$B:$B,"Aqualogica",Offtake_Brand_SubCat_Zone!S:S))</f>
      </c>
      <c r="M8" s="2">
        <f>(SUM(Offtake_Brand_SubCat_Zone!Q2:Q300)-SUMIF(Offtake_Brand_SubCat_Zone!$B:$B,"Mamaearth",Offtake_Brand_SubCat_Zone!Q:Q)-SUMIF(Offtake_Brand_SubCat_Zone!$B:$B,"The Derma Co.",Offtake_Brand_SubCat_Zone!Q:Q)-SUMIF(Offtake_Brand_SubCat_Zone!$B:$B,"Aqualogica",Offtake_Brand_SubCat_Zone!Q:Q)+SUM(Offtake_Brand_SubCat_Zone!R2:R300)-SUMIF(Offtake_Brand_SubCat_Zone!$B:$B,"Mamaearth",Offtake_Brand_SubCat_Zone!R:R)-SUMIF(Offtake_Brand_SubCat_Zone!$B:$B,"The Derma Co.",Offtake_Brand_SubCat_Zone!R:R)-SUMIF(Offtake_Brand_SubCat_Zone!$B:$B,"Aqualogica",Offtake_Brand_SubCat_Zone!R:R)+SUM(Offtake_Brand_SubCat_Zone!S2:S300)-SUMIF(Offtake_Brand_SubCat_Zone!$B:$B,"Mamaearth",Offtake_Brand_SubCat_Zone!S:S)-SUMIF(Offtake_Brand_SubCat_Zone!$B:$B,"The Derma Co.",Offtake_Brand_SubCat_Zone!S:S)-SUMIF(Offtake_Brand_SubCat_Zone!$B:$B,"Aqualogica",Offtake_Brand_SubCat_Zone!S:S))/(SUM(Offtake_Brand_SubCat_Zone!E2:E300)-SUMIF(Offtake_Brand_SubCat_Zone!$B:$B,"Mamaearth",Offtake_Brand_SubCat_Zone!E:E)-SUMIF(Offtake_Brand_SubCat_Zone!$B:$B,"The Derma Co.",Offtake_Brand_SubCat_Zone!E:E)-SUMIF(Offtake_Brand_SubCat_Zone!$B:$B,"Aqualogica",Offtake_Brand_SubCat_Zone!E:E)+SUM(Offtake_Brand_SubCat_Zone!F2:F300)-SUMIF(Offtake_Brand_SubCat_Zone!$B:$B,"Mamaearth",Offtake_Brand_SubCat_Zone!F:F)-SUMIF(Offtake_Brand_SubCat_Zone!$B:$B,"The Derma Co.",Offtake_Brand_SubCat_Zone!F:F)-SUMIF(Offtake_Brand_SubCat_Zone!$B:$B,"Aqualogica",Offtake_Brand_SubCat_Zone!F:F)+SUM(Offtake_Brand_SubCat_Zone!G2:G300)-SUMIF(Offtake_Brand_SubCat_Zone!$B:$B,"Mamaearth",Offtake_Brand_SubCat_Zone!G:G)-SUMIF(Offtake_Brand_SubCat_Zone!$B:$B,"The Derma Co.",Offtake_Brand_SubCat_Zone!G:G)-SUMIF(Offtake_Brand_SubCat_Zone!$B:$B,"Aqualogica",Offtake_Brand_SubCat_Zone!G:G))-1</f>
      </c>
    </row>
    <row r="9">
      <c r="A9" t="str">
        <v>PORTFOLIO TOTAL</v>
      </c>
      <c r="B9" s="1">
        <f>SUM(Offtake_Brand_SubCat_Zone!G2:G300)</f>
      </c>
      <c r="C9" s="1">
        <f>SUM(Offtake_Brand_SubCat_Zone!Q2:Q300)</f>
      </c>
      <c r="D9" s="1">
        <f>SUM(Offtake_Brand_SubCat_Zone!R2:R300)</f>
      </c>
      <c r="E9" s="1">
        <f>SUM(Offtake_Brand_SubCat_Zone!S2:S300)</f>
      </c>
      <c r="F9" s="4">
        <f>E9/E$9</f>
      </c>
      <c r="G9" s="5">
        <f>AVERAGE(SUM(Offtake_Brand_SubCat_Zone!P2:P300),SUM(Offtake_Brand_SubCat_Zone!Q2:Q300),SUM(Offtake_Brand_SubCat_Zone!R2:R300))</f>
      </c>
      <c r="H9" s="2">
        <f>SUM(Offtake_Brand_SubCat_Zone!S2:S300)/AVERAGE(SUM(Offtake_Brand_SubCat_Zone!P2:P300),SUM(Offtake_Brand_SubCat_Zone!Q2:Q300),SUM(Offtake_Brand_SubCat_Zone!R2:R300))-1</f>
      </c>
      <c r="I9" s="2">
        <f>SUM(Offtake_Brand_SubCat_Zone!S2:S300)/SUM(Offtake_Brand_SubCat_Zone!R2:R300)-1</f>
      </c>
      <c r="J9" s="2">
        <f>SUM(Offtake_Brand_SubCat_Zone!S2:S300)/SUM(Offtake_Brand_SubCat_Zone!G2:G300)-1</f>
      </c>
      <c r="K9" s="1">
        <f>(SUM(Offtake_Brand_SubCat_Zone!E2:E300)+SUM(Offtake_Brand_SubCat_Zone!F2:F300)+SUM(Offtake_Brand_SubCat_Zone!G2:G300))</f>
      </c>
      <c r="L9" s="1">
        <f>(SUM(Offtake_Brand_SubCat_Zone!Q2:Q300)+SUM(Offtake_Brand_SubCat_Zone!R2:R300)+SUM(Offtake_Brand_SubCat_Zone!S2:S300))</f>
      </c>
      <c r="M9" s="2">
        <f>(SUM(Offtake_Brand_SubCat_Zone!Q2:Q300)+SUM(Offtake_Brand_SubCat_Zone!R2:R300)+SUM(Offtake_Brand_SubCat_Zone!S2:S300))/(SUM(Offtake_Brand_SubCat_Zone!E2:E300)+SUM(Offtake_Brand_SubCat_Zone!F2:F300)+SUM(Offtake_Brand_SubCat_Zone!G2:G300))-1</f>
      </c>
    </row>
    <row r="12">
      <c r="A12" t="str">
        <v>KEY SUB-CATEGORIES (hero segments)</v>
      </c>
    </row>
    <row r="13">
      <c r="A13" t="str">
        <v/>
      </c>
      <c r="B13" t="str">
        <v>Jun-25</v>
      </c>
      <c r="C13" t="str">
        <v>Apr-26</v>
      </c>
      <c r="D13" t="str">
        <v>May-26</v>
      </c>
      <c r="E13" t="str">
        <v>Jun-26</v>
      </c>
      <c r="F13" t="str">
        <v>Share % Jun'26</v>
      </c>
      <c r="G13" t="str">
        <v>L3M Avg</v>
      </c>
      <c r="H13" t="str">
        <v>GO L3M %</v>
      </c>
      <c r="I13" t="str">
        <v>MoM %</v>
      </c>
      <c r="J13" t="str">
        <v>GOLY %</v>
      </c>
      <c r="K13" t="str">
        <v>Q1 FY26</v>
      </c>
      <c r="L13" t="str">
        <v>Q1 FY27</v>
      </c>
      <c r="M13" t="str">
        <v>Q1 Growth %</v>
      </c>
    </row>
    <row r="14">
      <c r="A14" t="str">
        <v>Mamaearth — Face Cleanser</v>
      </c>
      <c r="B14" s="1">
        <f>SUMIFS(Offtake_Brand_SubCat_Zone!G:G,Offtake_Brand_SubCat_Zone!$B:$B,"Mamaearth",Offtake_Brand_SubCat_Zone!$C:$C,"Face Cleanser")</f>
      </c>
      <c r="C14" s="1">
        <f>SUMIFS(Offtake_Brand_SubCat_Zone!Q:Q,Offtake_Brand_SubCat_Zone!$B:$B,"Mamaearth",Offtake_Brand_SubCat_Zone!$C:$C,"Face Cleanser")</f>
      </c>
      <c r="D14" s="1">
        <f>SUMIFS(Offtake_Brand_SubCat_Zone!R:R,Offtake_Brand_SubCat_Zone!$B:$B,"Mamaearth",Offtake_Brand_SubCat_Zone!$C:$C,"Face Cleanser")</f>
      </c>
      <c r="E14" s="1">
        <f>SUMIFS(Offtake_Brand_SubCat_Zone!S:S,Offtake_Brand_SubCat_Zone!$B:$B,"Mamaearth",Offtake_Brand_SubCat_Zone!$C:$C,"Face Cleanser")</f>
      </c>
      <c r="F14" s="4">
        <f>E14/E$9</f>
      </c>
      <c r="G14" s="5">
        <f>AVERAGE(SUMIFS(Offtake_Brand_SubCat_Zone!P:P,Offtake_Brand_SubCat_Zone!$B:$B,"Mamaearth",Offtake_Brand_SubCat_Zone!$C:$C,"Face Cleanser"),SUMIFS(Offtake_Brand_SubCat_Zone!Q:Q,Offtake_Brand_SubCat_Zone!$B:$B,"Mamaearth",Offtake_Brand_SubCat_Zone!$C:$C,"Face Cleanser"),SUMIFS(Offtake_Brand_SubCat_Zone!R:R,Offtake_Brand_SubCat_Zone!$B:$B,"Mamaearth",Offtake_Brand_SubCat_Zone!$C:$C,"Face Cleanser"))</f>
      </c>
      <c r="H14" s="2">
        <f>SUMIFS(Offtake_Brand_SubCat_Zone!S:S,Offtake_Brand_SubCat_Zone!$B:$B,"Mamaearth",Offtake_Brand_SubCat_Zone!$C:$C,"Face Cleanser")/AVERAGE(SUMIFS(Offtake_Brand_SubCat_Zone!P:P,Offtake_Brand_SubCat_Zone!$B:$B,"Mamaearth",Offtake_Brand_SubCat_Zone!$C:$C,"Face Cleanser"),SUMIFS(Offtake_Brand_SubCat_Zone!Q:Q,Offtake_Brand_SubCat_Zone!$B:$B,"Mamaearth",Offtake_Brand_SubCat_Zone!$C:$C,"Face Cleanser"),SUMIFS(Offtake_Brand_SubCat_Zone!R:R,Offtake_Brand_SubCat_Zone!$B:$B,"Mamaearth",Offtake_Brand_SubCat_Zone!$C:$C,"Face Cleanser"))-1</f>
      </c>
      <c r="I14" s="2">
        <f>SUMIFS(Offtake_Brand_SubCat_Zone!S:S,Offtake_Brand_SubCat_Zone!$B:$B,"Mamaearth",Offtake_Brand_SubCat_Zone!$C:$C,"Face Cleanser")/SUMIFS(Offtake_Brand_SubCat_Zone!R:R,Offtake_Brand_SubCat_Zone!$B:$B,"Mamaearth",Offtake_Brand_SubCat_Zone!$C:$C,"Face Cleanser")-1</f>
      </c>
      <c r="J14" s="2">
        <f>SUMIFS(Offtake_Brand_SubCat_Zone!S:S,Offtake_Brand_SubCat_Zone!$B:$B,"Mamaearth",Offtake_Brand_SubCat_Zone!$C:$C,"Face Cleanser")/SUMIFS(Offtake_Brand_SubCat_Zone!G:G,Offtake_Brand_SubCat_Zone!$B:$B,"Mamaearth",Offtake_Brand_SubCat_Zone!$C:$C,"Face Cleanser")-1</f>
      </c>
      <c r="K14" s="1">
        <f>(SUMIFS(Offtake_Brand_SubCat_Zone!E:E,Offtake_Brand_SubCat_Zone!$B:$B,"Mamaearth",Offtake_Brand_SubCat_Zone!$C:$C,"Face Cleanser")+SUMIFS(Offtake_Brand_SubCat_Zone!F:F,Offtake_Brand_SubCat_Zone!$B:$B,"Mamaearth",Offtake_Brand_SubCat_Zone!$C:$C,"Face Cleanser")+SUMIFS(Offtake_Brand_SubCat_Zone!G:G,Offtake_Brand_SubCat_Zone!$B:$B,"Mamaearth",Offtake_Brand_SubCat_Zone!$C:$C,"Face Cleanser"))</f>
      </c>
      <c r="L14" s="1">
        <f>(SUMIFS(Offtake_Brand_SubCat_Zone!Q:Q,Offtake_Brand_SubCat_Zone!$B:$B,"Mamaearth",Offtake_Brand_SubCat_Zone!$C:$C,"Face Cleanser")+SUMIFS(Offtake_Brand_SubCat_Zone!R:R,Offtake_Brand_SubCat_Zone!$B:$B,"Mamaearth",Offtake_Brand_SubCat_Zone!$C:$C,"Face Cleanser")+SUMIFS(Offtake_Brand_SubCat_Zone!S:S,Offtake_Brand_SubCat_Zone!$B:$B,"Mamaearth",Offtake_Brand_SubCat_Zone!$C:$C,"Face Cleanser"))</f>
      </c>
      <c r="M14" s="2">
        <f>(SUMIFS(Offtake_Brand_SubCat_Zone!Q:Q,Offtake_Brand_SubCat_Zone!$B:$B,"Mamaearth",Offtake_Brand_SubCat_Zone!$C:$C,"Face Cleanser")+SUMIFS(Offtake_Brand_SubCat_Zone!R:R,Offtake_Brand_SubCat_Zone!$B:$B,"Mamaearth",Offtake_Brand_SubCat_Zone!$C:$C,"Face Cleanser")+SUMIFS(Offtake_Brand_SubCat_Zone!S:S,Offtake_Brand_SubCat_Zone!$B:$B,"Mamaearth",Offtake_Brand_SubCat_Zone!$C:$C,"Face Cleanser"))/(SUMIFS(Offtake_Brand_SubCat_Zone!E:E,Offtake_Brand_SubCat_Zone!$B:$B,"Mamaearth",Offtake_Brand_SubCat_Zone!$C:$C,"Face Cleanser")+SUMIFS(Offtake_Brand_SubCat_Zone!F:F,Offtake_Brand_SubCat_Zone!$B:$B,"Mamaearth",Offtake_Brand_SubCat_Zone!$C:$C,"Face Cleanser")+SUMIFS(Offtake_Brand_SubCat_Zone!G:G,Offtake_Brand_SubCat_Zone!$B:$B,"Mamaearth",Offtake_Brand_SubCat_Zone!$C:$C,"Face Cleanser"))-1</f>
      </c>
    </row>
    <row r="15">
      <c r="A15" t="str">
        <v>Mamaearth — Shampoo</v>
      </c>
      <c r="B15" s="1">
        <f>SUMIFS(Offtake_Brand_SubCat_Zone!G:G,Offtake_Brand_SubCat_Zone!$B:$B,"Mamaearth",Offtake_Brand_SubCat_Zone!$C:$C,"Shampoo")</f>
      </c>
      <c r="C15" s="1">
        <f>SUMIFS(Offtake_Brand_SubCat_Zone!Q:Q,Offtake_Brand_SubCat_Zone!$B:$B,"Mamaearth",Offtake_Brand_SubCat_Zone!$C:$C,"Shampoo")</f>
      </c>
      <c r="D15" s="1">
        <f>SUMIFS(Offtake_Brand_SubCat_Zone!R:R,Offtake_Brand_SubCat_Zone!$B:$B,"Mamaearth",Offtake_Brand_SubCat_Zone!$C:$C,"Shampoo")</f>
      </c>
      <c r="E15" s="1">
        <f>SUMIFS(Offtake_Brand_SubCat_Zone!S:S,Offtake_Brand_SubCat_Zone!$B:$B,"Mamaearth",Offtake_Brand_SubCat_Zone!$C:$C,"Shampoo")</f>
      </c>
      <c r="F15" s="4">
        <f>E15/E$9</f>
      </c>
      <c r="G15" s="5">
        <f>AVERAGE(SUMIFS(Offtake_Brand_SubCat_Zone!P:P,Offtake_Brand_SubCat_Zone!$B:$B,"Mamaearth",Offtake_Brand_SubCat_Zone!$C:$C,"Shampoo"),SUMIFS(Offtake_Brand_SubCat_Zone!Q:Q,Offtake_Brand_SubCat_Zone!$B:$B,"Mamaearth",Offtake_Brand_SubCat_Zone!$C:$C,"Shampoo"),SUMIFS(Offtake_Brand_SubCat_Zone!R:R,Offtake_Brand_SubCat_Zone!$B:$B,"Mamaearth",Offtake_Brand_SubCat_Zone!$C:$C,"Shampoo"))</f>
      </c>
      <c r="H15" s="2">
        <f>SUMIFS(Offtake_Brand_SubCat_Zone!S:S,Offtake_Brand_SubCat_Zone!$B:$B,"Mamaearth",Offtake_Brand_SubCat_Zone!$C:$C,"Shampoo")/AVERAGE(SUMIFS(Offtake_Brand_SubCat_Zone!P:P,Offtake_Brand_SubCat_Zone!$B:$B,"Mamaearth",Offtake_Brand_SubCat_Zone!$C:$C,"Shampoo"),SUMIFS(Offtake_Brand_SubCat_Zone!Q:Q,Offtake_Brand_SubCat_Zone!$B:$B,"Mamaearth",Offtake_Brand_SubCat_Zone!$C:$C,"Shampoo"),SUMIFS(Offtake_Brand_SubCat_Zone!R:R,Offtake_Brand_SubCat_Zone!$B:$B,"Mamaearth",Offtake_Brand_SubCat_Zone!$C:$C,"Shampoo"))-1</f>
      </c>
      <c r="I15" s="2">
        <f>SUMIFS(Offtake_Brand_SubCat_Zone!S:S,Offtake_Brand_SubCat_Zone!$B:$B,"Mamaearth",Offtake_Brand_SubCat_Zone!$C:$C,"Shampoo")/SUMIFS(Offtake_Brand_SubCat_Zone!R:R,Offtake_Brand_SubCat_Zone!$B:$B,"Mamaearth",Offtake_Brand_SubCat_Zone!$C:$C,"Shampoo")-1</f>
      </c>
      <c r="J15" s="2">
        <f>SUMIFS(Offtake_Brand_SubCat_Zone!S:S,Offtake_Brand_SubCat_Zone!$B:$B,"Mamaearth",Offtake_Brand_SubCat_Zone!$C:$C,"Shampoo")/SUMIFS(Offtake_Brand_SubCat_Zone!G:G,Offtake_Brand_SubCat_Zone!$B:$B,"Mamaearth",Offtake_Brand_SubCat_Zone!$C:$C,"Shampoo")-1</f>
      </c>
      <c r="K15" s="1">
        <f>(SUMIFS(Offtake_Brand_SubCat_Zone!E:E,Offtake_Brand_SubCat_Zone!$B:$B,"Mamaearth",Offtake_Brand_SubCat_Zone!$C:$C,"Shampoo")+SUMIFS(Offtake_Brand_SubCat_Zone!F:F,Offtake_Brand_SubCat_Zone!$B:$B,"Mamaearth",Offtake_Brand_SubCat_Zone!$C:$C,"Shampoo")+SUMIFS(Offtake_Brand_SubCat_Zone!G:G,Offtake_Brand_SubCat_Zone!$B:$B,"Mamaearth",Offtake_Brand_SubCat_Zone!$C:$C,"Shampoo"))</f>
      </c>
      <c r="L15" s="1">
        <f>(SUMIFS(Offtake_Brand_SubCat_Zone!Q:Q,Offtake_Brand_SubCat_Zone!$B:$B,"Mamaearth",Offtake_Brand_SubCat_Zone!$C:$C,"Shampoo")+SUMIFS(Offtake_Brand_SubCat_Zone!R:R,Offtake_Brand_SubCat_Zone!$B:$B,"Mamaearth",Offtake_Brand_SubCat_Zone!$C:$C,"Shampoo")+SUMIFS(Offtake_Brand_SubCat_Zone!S:S,Offtake_Brand_SubCat_Zone!$B:$B,"Mamaearth",Offtake_Brand_SubCat_Zone!$C:$C,"Shampoo"))</f>
      </c>
      <c r="M15" s="2">
        <f>(SUMIFS(Offtake_Brand_SubCat_Zone!Q:Q,Offtake_Brand_SubCat_Zone!$B:$B,"Mamaearth",Offtake_Brand_SubCat_Zone!$C:$C,"Shampoo")+SUMIFS(Offtake_Brand_SubCat_Zone!R:R,Offtake_Brand_SubCat_Zone!$B:$B,"Mamaearth",Offtake_Brand_SubCat_Zone!$C:$C,"Shampoo")+SUMIFS(Offtake_Brand_SubCat_Zone!S:S,Offtake_Brand_SubCat_Zone!$B:$B,"Mamaearth",Offtake_Brand_SubCat_Zone!$C:$C,"Shampoo"))/(SUMIFS(Offtake_Brand_SubCat_Zone!E:E,Offtake_Brand_SubCat_Zone!$B:$B,"Mamaearth",Offtake_Brand_SubCat_Zone!$C:$C,"Shampoo")+SUMIFS(Offtake_Brand_SubCat_Zone!F:F,Offtake_Brand_SubCat_Zone!$B:$B,"Mamaearth",Offtake_Brand_SubCat_Zone!$C:$C,"Shampoo")+SUMIFS(Offtake_Brand_SubCat_Zone!G:G,Offtake_Brand_SubCat_Zone!$B:$B,"Mamaearth",Offtake_Brand_SubCat_Zone!$C:$C,"Shampoo"))-1</f>
      </c>
    </row>
    <row r="16">
      <c r="A16" t="str">
        <v>Mamaearth — Sun Care</v>
      </c>
      <c r="B16" s="1">
        <f>SUMIFS(Offtake_Brand_SubCat_Zone!G:G,Offtake_Brand_SubCat_Zone!$B:$B,"Mamaearth",Offtake_Brand_SubCat_Zone!$C:$C,"Sun Care")</f>
      </c>
      <c r="C16" s="1">
        <f>SUMIFS(Offtake_Brand_SubCat_Zone!Q:Q,Offtake_Brand_SubCat_Zone!$B:$B,"Mamaearth",Offtake_Brand_SubCat_Zone!$C:$C,"Sun Care")</f>
      </c>
      <c r="D16" s="1">
        <f>SUMIFS(Offtake_Brand_SubCat_Zone!R:R,Offtake_Brand_SubCat_Zone!$B:$B,"Mamaearth",Offtake_Brand_SubCat_Zone!$C:$C,"Sun Care")</f>
      </c>
      <c r="E16" s="1">
        <f>SUMIFS(Offtake_Brand_SubCat_Zone!S:S,Offtake_Brand_SubCat_Zone!$B:$B,"Mamaearth",Offtake_Brand_SubCat_Zone!$C:$C,"Sun Care")</f>
      </c>
      <c r="F16" s="4">
        <f>E16/E$9</f>
      </c>
      <c r="G16" s="5">
        <f>AVERAGE(SUMIFS(Offtake_Brand_SubCat_Zone!P:P,Offtake_Brand_SubCat_Zone!$B:$B,"Mamaearth",Offtake_Brand_SubCat_Zone!$C:$C,"Sun Care"),SUMIFS(Offtake_Brand_SubCat_Zone!Q:Q,Offtake_Brand_SubCat_Zone!$B:$B,"Mamaearth",Offtake_Brand_SubCat_Zone!$C:$C,"Sun Care"),SUMIFS(Offtake_Brand_SubCat_Zone!R:R,Offtake_Brand_SubCat_Zone!$B:$B,"Mamaearth",Offtake_Brand_SubCat_Zone!$C:$C,"Sun Care"))</f>
      </c>
      <c r="H16" s="2">
        <f>SUMIFS(Offtake_Brand_SubCat_Zone!S:S,Offtake_Brand_SubCat_Zone!$B:$B,"Mamaearth",Offtake_Brand_SubCat_Zone!$C:$C,"Sun Care")/AVERAGE(SUMIFS(Offtake_Brand_SubCat_Zone!P:P,Offtake_Brand_SubCat_Zone!$B:$B,"Mamaearth",Offtake_Brand_SubCat_Zone!$C:$C,"Sun Care"),SUMIFS(Offtake_Brand_SubCat_Zone!Q:Q,Offtake_Brand_SubCat_Zone!$B:$B,"Mamaearth",Offtake_Brand_SubCat_Zone!$C:$C,"Sun Care"),SUMIFS(Offtake_Brand_SubCat_Zone!R:R,Offtake_Brand_SubCat_Zone!$B:$B,"Mamaearth",Offtake_Brand_SubCat_Zone!$C:$C,"Sun Care"))-1</f>
      </c>
      <c r="I16" s="2">
        <f>SUMIFS(Offtake_Brand_SubCat_Zone!S:S,Offtake_Brand_SubCat_Zone!$B:$B,"Mamaearth",Offtake_Brand_SubCat_Zone!$C:$C,"Sun Care")/SUMIFS(Offtake_Brand_SubCat_Zone!R:R,Offtake_Brand_SubCat_Zone!$B:$B,"Mamaearth",Offtake_Brand_SubCat_Zone!$C:$C,"Sun Care")-1</f>
      </c>
      <c r="J16" s="2">
        <f>SUMIFS(Offtake_Brand_SubCat_Zone!S:S,Offtake_Brand_SubCat_Zone!$B:$B,"Mamaearth",Offtake_Brand_SubCat_Zone!$C:$C,"Sun Care")/SUMIFS(Offtake_Brand_SubCat_Zone!G:G,Offtake_Brand_SubCat_Zone!$B:$B,"Mamaearth",Offtake_Brand_SubCat_Zone!$C:$C,"Sun Care")-1</f>
      </c>
      <c r="K16" s="1">
        <f>(SUMIFS(Offtake_Brand_SubCat_Zone!E:E,Offtake_Brand_SubCat_Zone!$B:$B,"Mamaearth",Offtake_Brand_SubCat_Zone!$C:$C,"Sun Care")+SUMIFS(Offtake_Brand_SubCat_Zone!F:F,Offtake_Brand_SubCat_Zone!$B:$B,"Mamaearth",Offtake_Brand_SubCat_Zone!$C:$C,"Sun Care")+SUMIFS(Offtake_Brand_SubCat_Zone!G:G,Offtake_Brand_SubCat_Zone!$B:$B,"Mamaearth",Offtake_Brand_SubCat_Zone!$C:$C,"Sun Care"))</f>
      </c>
      <c r="L16" s="1">
        <f>(SUMIFS(Offtake_Brand_SubCat_Zone!Q:Q,Offtake_Brand_SubCat_Zone!$B:$B,"Mamaearth",Offtake_Brand_SubCat_Zone!$C:$C,"Sun Care")+SUMIFS(Offtake_Brand_SubCat_Zone!R:R,Offtake_Brand_SubCat_Zone!$B:$B,"Mamaearth",Offtake_Brand_SubCat_Zone!$C:$C,"Sun Care")+SUMIFS(Offtake_Brand_SubCat_Zone!S:S,Offtake_Brand_SubCat_Zone!$B:$B,"Mamaearth",Offtake_Brand_SubCat_Zone!$C:$C,"Sun Care"))</f>
      </c>
      <c r="M16" s="2">
        <f>(SUMIFS(Offtake_Brand_SubCat_Zone!Q:Q,Offtake_Brand_SubCat_Zone!$B:$B,"Mamaearth",Offtake_Brand_SubCat_Zone!$C:$C,"Sun Care")+SUMIFS(Offtake_Brand_SubCat_Zone!R:R,Offtake_Brand_SubCat_Zone!$B:$B,"Mamaearth",Offtake_Brand_SubCat_Zone!$C:$C,"Sun Care")+SUMIFS(Offtake_Brand_SubCat_Zone!S:S,Offtake_Brand_SubCat_Zone!$B:$B,"Mamaearth",Offtake_Brand_SubCat_Zone!$C:$C,"Sun Care"))/(SUMIFS(Offtake_Brand_SubCat_Zone!E:E,Offtake_Brand_SubCat_Zone!$B:$B,"Mamaearth",Offtake_Brand_SubCat_Zone!$C:$C,"Sun Care")+SUMIFS(Offtake_Brand_SubCat_Zone!F:F,Offtake_Brand_SubCat_Zone!$B:$B,"Mamaearth",Offtake_Brand_SubCat_Zone!$C:$C,"Sun Care")+SUMIFS(Offtake_Brand_SubCat_Zone!G:G,Offtake_Brand_SubCat_Zone!$B:$B,"Mamaearth",Offtake_Brand_SubCat_Zone!$C:$C,"Sun Care"))-1</f>
      </c>
    </row>
    <row r="17">
      <c r="A17" t="str">
        <v>Mamaearth — Body Lotion</v>
      </c>
      <c r="B17" s="1">
        <f>SUMIFS(Offtake_Brand_SubCat_Zone!G:G,Offtake_Brand_SubCat_Zone!$B:$B,"Mamaearth",Offtake_Brand_SubCat_Zone!$C:$C,"Body Lotion")</f>
      </c>
      <c r="C17" s="1">
        <f>SUMIFS(Offtake_Brand_SubCat_Zone!Q:Q,Offtake_Brand_SubCat_Zone!$B:$B,"Mamaearth",Offtake_Brand_SubCat_Zone!$C:$C,"Body Lotion")</f>
      </c>
      <c r="D17" s="1">
        <f>SUMIFS(Offtake_Brand_SubCat_Zone!R:R,Offtake_Brand_SubCat_Zone!$B:$B,"Mamaearth",Offtake_Brand_SubCat_Zone!$C:$C,"Body Lotion")</f>
      </c>
      <c r="E17" s="1">
        <f>SUMIFS(Offtake_Brand_SubCat_Zone!S:S,Offtake_Brand_SubCat_Zone!$B:$B,"Mamaearth",Offtake_Brand_SubCat_Zone!$C:$C,"Body Lotion")</f>
      </c>
      <c r="F17" s="4">
        <f>E17/E$9</f>
      </c>
      <c r="G17" s="5">
        <f>AVERAGE(SUMIFS(Offtake_Brand_SubCat_Zone!P:P,Offtake_Brand_SubCat_Zone!$B:$B,"Mamaearth",Offtake_Brand_SubCat_Zone!$C:$C,"Body Lotion"),SUMIFS(Offtake_Brand_SubCat_Zone!Q:Q,Offtake_Brand_SubCat_Zone!$B:$B,"Mamaearth",Offtake_Brand_SubCat_Zone!$C:$C,"Body Lotion"),SUMIFS(Offtake_Brand_SubCat_Zone!R:R,Offtake_Brand_SubCat_Zone!$B:$B,"Mamaearth",Offtake_Brand_SubCat_Zone!$C:$C,"Body Lotion"))</f>
      </c>
      <c r="H17" s="2">
        <f>SUMIFS(Offtake_Brand_SubCat_Zone!S:S,Offtake_Brand_SubCat_Zone!$B:$B,"Mamaearth",Offtake_Brand_SubCat_Zone!$C:$C,"Body Lotion")/AVERAGE(SUMIFS(Offtake_Brand_SubCat_Zone!P:P,Offtake_Brand_SubCat_Zone!$B:$B,"Mamaearth",Offtake_Brand_SubCat_Zone!$C:$C,"Body Lotion"),SUMIFS(Offtake_Brand_SubCat_Zone!Q:Q,Offtake_Brand_SubCat_Zone!$B:$B,"Mamaearth",Offtake_Brand_SubCat_Zone!$C:$C,"Body Lotion"),SUMIFS(Offtake_Brand_SubCat_Zone!R:R,Offtake_Brand_SubCat_Zone!$B:$B,"Mamaearth",Offtake_Brand_SubCat_Zone!$C:$C,"Body Lotion"))-1</f>
      </c>
      <c r="I17" s="2">
        <f>SUMIFS(Offtake_Brand_SubCat_Zone!S:S,Offtake_Brand_SubCat_Zone!$B:$B,"Mamaearth",Offtake_Brand_SubCat_Zone!$C:$C,"Body Lotion")/SUMIFS(Offtake_Brand_SubCat_Zone!R:R,Offtake_Brand_SubCat_Zone!$B:$B,"Mamaearth",Offtake_Brand_SubCat_Zone!$C:$C,"Body Lotion")-1</f>
      </c>
      <c r="J17" s="2">
        <f>SUMIFS(Offtake_Brand_SubCat_Zone!S:S,Offtake_Brand_SubCat_Zone!$B:$B,"Mamaearth",Offtake_Brand_SubCat_Zone!$C:$C,"Body Lotion")/SUMIFS(Offtake_Brand_SubCat_Zone!G:G,Offtake_Brand_SubCat_Zone!$B:$B,"Mamaearth",Offtake_Brand_SubCat_Zone!$C:$C,"Body Lotion")-1</f>
      </c>
      <c r="K17" s="1">
        <f>(SUMIFS(Offtake_Brand_SubCat_Zone!E:E,Offtake_Brand_SubCat_Zone!$B:$B,"Mamaearth",Offtake_Brand_SubCat_Zone!$C:$C,"Body Lotion")+SUMIFS(Offtake_Brand_SubCat_Zone!F:F,Offtake_Brand_SubCat_Zone!$B:$B,"Mamaearth",Offtake_Brand_SubCat_Zone!$C:$C,"Body Lotion")+SUMIFS(Offtake_Brand_SubCat_Zone!G:G,Offtake_Brand_SubCat_Zone!$B:$B,"Mamaearth",Offtake_Brand_SubCat_Zone!$C:$C,"Body Lotion"))</f>
      </c>
      <c r="L17" s="1">
        <f>(SUMIFS(Offtake_Brand_SubCat_Zone!Q:Q,Offtake_Brand_SubCat_Zone!$B:$B,"Mamaearth",Offtake_Brand_SubCat_Zone!$C:$C,"Body Lotion")+SUMIFS(Offtake_Brand_SubCat_Zone!R:R,Offtake_Brand_SubCat_Zone!$B:$B,"Mamaearth",Offtake_Brand_SubCat_Zone!$C:$C,"Body Lotion")+SUMIFS(Offtake_Brand_SubCat_Zone!S:S,Offtake_Brand_SubCat_Zone!$B:$B,"Mamaearth",Offtake_Brand_SubCat_Zone!$C:$C,"Body Lotion"))</f>
      </c>
      <c r="M17" s="2">
        <f>(SUMIFS(Offtake_Brand_SubCat_Zone!Q:Q,Offtake_Brand_SubCat_Zone!$B:$B,"Mamaearth",Offtake_Brand_SubCat_Zone!$C:$C,"Body Lotion")+SUMIFS(Offtake_Brand_SubCat_Zone!R:R,Offtake_Brand_SubCat_Zone!$B:$B,"Mamaearth",Offtake_Brand_SubCat_Zone!$C:$C,"Body Lotion")+SUMIFS(Offtake_Brand_SubCat_Zone!S:S,Offtake_Brand_SubCat_Zone!$B:$B,"Mamaearth",Offtake_Brand_SubCat_Zone!$C:$C,"Body Lotion"))/(SUMIFS(Offtake_Brand_SubCat_Zone!E:E,Offtake_Brand_SubCat_Zone!$B:$B,"Mamaearth",Offtake_Brand_SubCat_Zone!$C:$C,"Body Lotion")+SUMIFS(Offtake_Brand_SubCat_Zone!F:F,Offtake_Brand_SubCat_Zone!$B:$B,"Mamaearth",Offtake_Brand_SubCat_Zone!$C:$C,"Body Lotion")+SUMIFS(Offtake_Brand_SubCat_Zone!G:G,Offtake_Brand_SubCat_Zone!$B:$B,"Mamaearth",Offtake_Brand_SubCat_Zone!$C:$C,"Body Lotion"))-1</f>
      </c>
    </row>
    <row r="18">
      <c r="A18" t="str">
        <v>Mamaearth — Moisturisers</v>
      </c>
      <c r="B18" s="1">
        <f>SUMIFS(Offtake_Brand_SubCat_Zone!G:G,Offtake_Brand_SubCat_Zone!$B:$B,"Mamaearth",Offtake_Brand_SubCat_Zone!$C:$C,"Moisturisers")</f>
      </c>
      <c r="C18" s="1">
        <f>SUMIFS(Offtake_Brand_SubCat_Zone!Q:Q,Offtake_Brand_SubCat_Zone!$B:$B,"Mamaearth",Offtake_Brand_SubCat_Zone!$C:$C,"Moisturisers")</f>
      </c>
      <c r="D18" s="1">
        <f>SUMIFS(Offtake_Brand_SubCat_Zone!R:R,Offtake_Brand_SubCat_Zone!$B:$B,"Mamaearth",Offtake_Brand_SubCat_Zone!$C:$C,"Moisturisers")</f>
      </c>
      <c r="E18" s="1">
        <f>SUMIFS(Offtake_Brand_SubCat_Zone!S:S,Offtake_Brand_SubCat_Zone!$B:$B,"Mamaearth",Offtake_Brand_SubCat_Zone!$C:$C,"Moisturisers")</f>
      </c>
      <c r="F18" s="4">
        <f>E18/E$9</f>
      </c>
      <c r="G18" s="5">
        <f>AVERAGE(SUMIFS(Offtake_Brand_SubCat_Zone!P:P,Offtake_Brand_SubCat_Zone!$B:$B,"Mamaearth",Offtake_Brand_SubCat_Zone!$C:$C,"Moisturisers"),SUMIFS(Offtake_Brand_SubCat_Zone!Q:Q,Offtake_Brand_SubCat_Zone!$B:$B,"Mamaearth",Offtake_Brand_SubCat_Zone!$C:$C,"Moisturisers"),SUMIFS(Offtake_Brand_SubCat_Zone!R:R,Offtake_Brand_SubCat_Zone!$B:$B,"Mamaearth",Offtake_Brand_SubCat_Zone!$C:$C,"Moisturisers"))</f>
      </c>
      <c r="H18" s="2">
        <f>SUMIFS(Offtake_Brand_SubCat_Zone!S:S,Offtake_Brand_SubCat_Zone!$B:$B,"Mamaearth",Offtake_Brand_SubCat_Zone!$C:$C,"Moisturisers")/AVERAGE(SUMIFS(Offtake_Brand_SubCat_Zone!P:P,Offtake_Brand_SubCat_Zone!$B:$B,"Mamaearth",Offtake_Brand_SubCat_Zone!$C:$C,"Moisturisers"),SUMIFS(Offtake_Brand_SubCat_Zone!Q:Q,Offtake_Brand_SubCat_Zone!$B:$B,"Mamaearth",Offtake_Brand_SubCat_Zone!$C:$C,"Moisturisers"),SUMIFS(Offtake_Brand_SubCat_Zone!R:R,Offtake_Brand_SubCat_Zone!$B:$B,"Mamaearth",Offtake_Brand_SubCat_Zone!$C:$C,"Moisturisers"))-1</f>
      </c>
      <c r="I18" s="2">
        <f>SUMIFS(Offtake_Brand_SubCat_Zone!S:S,Offtake_Brand_SubCat_Zone!$B:$B,"Mamaearth",Offtake_Brand_SubCat_Zone!$C:$C,"Moisturisers")/SUMIFS(Offtake_Brand_SubCat_Zone!R:R,Offtake_Brand_SubCat_Zone!$B:$B,"Mamaearth",Offtake_Brand_SubCat_Zone!$C:$C,"Moisturisers")-1</f>
      </c>
      <c r="J18" s="2">
        <f>SUMIFS(Offtake_Brand_SubCat_Zone!S:S,Offtake_Brand_SubCat_Zone!$B:$B,"Mamaearth",Offtake_Brand_SubCat_Zone!$C:$C,"Moisturisers")/SUMIFS(Offtake_Brand_SubCat_Zone!G:G,Offtake_Brand_SubCat_Zone!$B:$B,"Mamaearth",Offtake_Brand_SubCat_Zone!$C:$C,"Moisturisers")-1</f>
      </c>
      <c r="K18" s="1">
        <f>(SUMIFS(Offtake_Brand_SubCat_Zone!E:E,Offtake_Brand_SubCat_Zone!$B:$B,"Mamaearth",Offtake_Brand_SubCat_Zone!$C:$C,"Moisturisers")+SUMIFS(Offtake_Brand_SubCat_Zone!F:F,Offtake_Brand_SubCat_Zone!$B:$B,"Mamaearth",Offtake_Brand_SubCat_Zone!$C:$C,"Moisturisers")+SUMIFS(Offtake_Brand_SubCat_Zone!G:G,Offtake_Brand_SubCat_Zone!$B:$B,"Mamaearth",Offtake_Brand_SubCat_Zone!$C:$C,"Moisturisers"))</f>
      </c>
      <c r="L18" s="1">
        <f>(SUMIFS(Offtake_Brand_SubCat_Zone!Q:Q,Offtake_Brand_SubCat_Zone!$B:$B,"Mamaearth",Offtake_Brand_SubCat_Zone!$C:$C,"Moisturisers")+SUMIFS(Offtake_Brand_SubCat_Zone!R:R,Offtake_Brand_SubCat_Zone!$B:$B,"Mamaearth",Offtake_Brand_SubCat_Zone!$C:$C,"Moisturisers")+SUMIFS(Offtake_Brand_SubCat_Zone!S:S,Offtake_Brand_SubCat_Zone!$B:$B,"Mamaearth",Offtake_Brand_SubCat_Zone!$C:$C,"Moisturisers"))</f>
      </c>
      <c r="M18" s="2">
        <f>(SUMIFS(Offtake_Brand_SubCat_Zone!Q:Q,Offtake_Brand_SubCat_Zone!$B:$B,"Mamaearth",Offtake_Brand_SubCat_Zone!$C:$C,"Moisturisers")+SUMIFS(Offtake_Brand_SubCat_Zone!R:R,Offtake_Brand_SubCat_Zone!$B:$B,"Mamaearth",Offtake_Brand_SubCat_Zone!$C:$C,"Moisturisers")+SUMIFS(Offtake_Brand_SubCat_Zone!S:S,Offtake_Brand_SubCat_Zone!$B:$B,"Mamaearth",Offtake_Brand_SubCat_Zone!$C:$C,"Moisturisers"))/(SUMIFS(Offtake_Brand_SubCat_Zone!E:E,Offtake_Brand_SubCat_Zone!$B:$B,"Mamaearth",Offtake_Brand_SubCat_Zone!$C:$C,"Moisturisers")+SUMIFS(Offtake_Brand_SubCat_Zone!F:F,Offtake_Brand_SubCat_Zone!$B:$B,"Mamaearth",Offtake_Brand_SubCat_Zone!$C:$C,"Moisturisers")+SUMIFS(Offtake_Brand_SubCat_Zone!G:G,Offtake_Brand_SubCat_Zone!$B:$B,"Mamaearth",Offtake_Brand_SubCat_Zone!$C:$C,"Moisturisers"))-1</f>
      </c>
    </row>
    <row r="19">
      <c r="A19" t="str">
        <v>Mamaearth — Body Wash</v>
      </c>
      <c r="B19" s="1">
        <f>SUMIFS(Offtake_Brand_SubCat_Zone!G:G,Offtake_Brand_SubCat_Zone!$B:$B,"Mamaearth",Offtake_Brand_SubCat_Zone!$C:$C,"Body Wash")</f>
      </c>
      <c r="C19" s="1">
        <f>SUMIFS(Offtake_Brand_SubCat_Zone!Q:Q,Offtake_Brand_SubCat_Zone!$B:$B,"Mamaearth",Offtake_Brand_SubCat_Zone!$C:$C,"Body Wash")</f>
      </c>
      <c r="D19" s="1">
        <f>SUMIFS(Offtake_Brand_SubCat_Zone!R:R,Offtake_Brand_SubCat_Zone!$B:$B,"Mamaearth",Offtake_Brand_SubCat_Zone!$C:$C,"Body Wash")</f>
      </c>
      <c r="E19" s="1">
        <f>SUMIFS(Offtake_Brand_SubCat_Zone!S:S,Offtake_Brand_SubCat_Zone!$B:$B,"Mamaearth",Offtake_Brand_SubCat_Zone!$C:$C,"Body Wash")</f>
      </c>
      <c r="F19" s="4">
        <f>E19/E$9</f>
      </c>
      <c r="G19" s="5">
        <f>AVERAGE(SUMIFS(Offtake_Brand_SubCat_Zone!P:P,Offtake_Brand_SubCat_Zone!$B:$B,"Mamaearth",Offtake_Brand_SubCat_Zone!$C:$C,"Body Wash"),SUMIFS(Offtake_Brand_SubCat_Zone!Q:Q,Offtake_Brand_SubCat_Zone!$B:$B,"Mamaearth",Offtake_Brand_SubCat_Zone!$C:$C,"Body Wash"),SUMIFS(Offtake_Brand_SubCat_Zone!R:R,Offtake_Brand_SubCat_Zone!$B:$B,"Mamaearth",Offtake_Brand_SubCat_Zone!$C:$C,"Body Wash"))</f>
      </c>
      <c r="H19" s="2">
        <f>SUMIFS(Offtake_Brand_SubCat_Zone!S:S,Offtake_Brand_SubCat_Zone!$B:$B,"Mamaearth",Offtake_Brand_SubCat_Zone!$C:$C,"Body Wash")/AVERAGE(SUMIFS(Offtake_Brand_SubCat_Zone!P:P,Offtake_Brand_SubCat_Zone!$B:$B,"Mamaearth",Offtake_Brand_SubCat_Zone!$C:$C,"Body Wash"),SUMIFS(Offtake_Brand_SubCat_Zone!Q:Q,Offtake_Brand_SubCat_Zone!$B:$B,"Mamaearth",Offtake_Brand_SubCat_Zone!$C:$C,"Body Wash"),SUMIFS(Offtake_Brand_SubCat_Zone!R:R,Offtake_Brand_SubCat_Zone!$B:$B,"Mamaearth",Offtake_Brand_SubCat_Zone!$C:$C,"Body Wash"))-1</f>
      </c>
      <c r="I19" s="2">
        <f>SUMIFS(Offtake_Brand_SubCat_Zone!S:S,Offtake_Brand_SubCat_Zone!$B:$B,"Mamaearth",Offtake_Brand_SubCat_Zone!$C:$C,"Body Wash")/SUMIFS(Offtake_Brand_SubCat_Zone!R:R,Offtake_Brand_SubCat_Zone!$B:$B,"Mamaearth",Offtake_Brand_SubCat_Zone!$C:$C,"Body Wash")-1</f>
      </c>
      <c r="J19" s="2">
        <f>SUMIFS(Offtake_Brand_SubCat_Zone!S:S,Offtake_Brand_SubCat_Zone!$B:$B,"Mamaearth",Offtake_Brand_SubCat_Zone!$C:$C,"Body Wash")/SUMIFS(Offtake_Brand_SubCat_Zone!G:G,Offtake_Brand_SubCat_Zone!$B:$B,"Mamaearth",Offtake_Brand_SubCat_Zone!$C:$C,"Body Wash")-1</f>
      </c>
      <c r="K19" s="1">
        <f>(SUMIFS(Offtake_Brand_SubCat_Zone!E:E,Offtake_Brand_SubCat_Zone!$B:$B,"Mamaearth",Offtake_Brand_SubCat_Zone!$C:$C,"Body Wash")+SUMIFS(Offtake_Brand_SubCat_Zone!F:F,Offtake_Brand_SubCat_Zone!$B:$B,"Mamaearth",Offtake_Brand_SubCat_Zone!$C:$C,"Body Wash")+SUMIFS(Offtake_Brand_SubCat_Zone!G:G,Offtake_Brand_SubCat_Zone!$B:$B,"Mamaearth",Offtake_Brand_SubCat_Zone!$C:$C,"Body Wash"))</f>
      </c>
      <c r="L19" s="1">
        <f>(SUMIFS(Offtake_Brand_SubCat_Zone!Q:Q,Offtake_Brand_SubCat_Zone!$B:$B,"Mamaearth",Offtake_Brand_SubCat_Zone!$C:$C,"Body Wash")+SUMIFS(Offtake_Brand_SubCat_Zone!R:R,Offtake_Brand_SubCat_Zone!$B:$B,"Mamaearth",Offtake_Brand_SubCat_Zone!$C:$C,"Body Wash")+SUMIFS(Offtake_Brand_SubCat_Zone!S:S,Offtake_Brand_SubCat_Zone!$B:$B,"Mamaearth",Offtake_Brand_SubCat_Zone!$C:$C,"Body Wash"))</f>
      </c>
      <c r="M19" s="2">
        <f>(SUMIFS(Offtake_Brand_SubCat_Zone!Q:Q,Offtake_Brand_SubCat_Zone!$B:$B,"Mamaearth",Offtake_Brand_SubCat_Zone!$C:$C,"Body Wash")+SUMIFS(Offtake_Brand_SubCat_Zone!R:R,Offtake_Brand_SubCat_Zone!$B:$B,"Mamaearth",Offtake_Brand_SubCat_Zone!$C:$C,"Body Wash")+SUMIFS(Offtake_Brand_SubCat_Zone!S:S,Offtake_Brand_SubCat_Zone!$B:$B,"Mamaearth",Offtake_Brand_SubCat_Zone!$C:$C,"Body Wash"))/(SUMIFS(Offtake_Brand_SubCat_Zone!E:E,Offtake_Brand_SubCat_Zone!$B:$B,"Mamaearth",Offtake_Brand_SubCat_Zone!$C:$C,"Body Wash")+SUMIFS(Offtake_Brand_SubCat_Zone!F:F,Offtake_Brand_SubCat_Zone!$B:$B,"Mamaearth",Offtake_Brand_SubCat_Zone!$C:$C,"Body Wash")+SUMIFS(Offtake_Brand_SubCat_Zone!G:G,Offtake_Brand_SubCat_Zone!$B:$B,"Mamaearth",Offtake_Brand_SubCat_Zone!$C:$C,"Body Wash"))-1</f>
      </c>
    </row>
  </sheetData>
  <ignoredErrors>
    <ignoredError numberStoredAsText="1" sqref="A1:O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44"/>
  <sheetViews>
    <sheetView workbookViewId="0"/>
  </sheetViews>
  <cols>
    <col min="1" max="1" width="2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</cols>
  <sheetData>
    <row r="1">
      <c r="A1" t="str">
        <v>PRIMARY (SELL-IN) SUMMARY — Jun'26 &amp; Q1 FY27 — ₹ Lacs</v>
      </c>
    </row>
    <row r="2">
      <c r="A2" t="str">
        <v>Source: Primary_Zone_Chain (chain-level, ₹ Lacs) &amp; Primary_Brand_Monthly (brand-level, ₹). Live formulas.</v>
      </c>
    </row>
    <row r="4">
      <c r="A4" t="str">
        <v>Month</v>
      </c>
      <c r="B4" t="str">
        <v>Apr-25</v>
      </c>
      <c r="C4" t="str">
        <v>May-25</v>
      </c>
      <c r="D4" t="str">
        <v>Jun-25</v>
      </c>
      <c r="E4" t="str">
        <v>Jul-25</v>
      </c>
      <c r="F4" t="str">
        <v>Aug-25</v>
      </c>
      <c r="G4" t="str">
        <v>Sep-25</v>
      </c>
      <c r="H4" t="str">
        <v>Oct-25</v>
      </c>
      <c r="I4" t="str">
        <v>Nov-25</v>
      </c>
      <c r="J4" t="str">
        <v>Dec-25</v>
      </c>
      <c r="K4" t="str">
        <v>Jan-26</v>
      </c>
      <c r="L4" t="str">
        <v>Feb-26</v>
      </c>
      <c r="M4" t="str">
        <v>Mar-26</v>
      </c>
      <c r="N4" t="str">
        <v>Apr-26</v>
      </c>
      <c r="O4" t="str">
        <v>May-26</v>
      </c>
      <c r="P4" t="str">
        <v>Jun-26</v>
      </c>
    </row>
    <row r="5">
      <c r="A5" t="str">
        <v>Primary NSV total</v>
      </c>
      <c r="B5" s="5">
        <f>SUM(Primary_Zone_Chain!D2:D200)</f>
      </c>
      <c r="C5" s="5">
        <f>SUM(Primary_Zone_Chain!E2:E200)</f>
      </c>
      <c r="D5" s="5">
        <f>SUM(Primary_Zone_Chain!F2:F200)</f>
      </c>
      <c r="E5" s="5">
        <f>SUM(Primary_Zone_Chain!G2:G200)</f>
      </c>
      <c r="F5" s="5">
        <f>SUM(Primary_Zone_Chain!H2:H200)</f>
      </c>
      <c r="G5" s="5">
        <f>SUM(Primary_Zone_Chain!I2:I200)</f>
      </c>
      <c r="H5" s="5">
        <f>SUM(Primary_Zone_Chain!J2:J200)</f>
      </c>
      <c r="I5" s="5">
        <f>SUM(Primary_Zone_Chain!K2:K200)</f>
      </c>
      <c r="J5" s="5">
        <f>SUM(Primary_Zone_Chain!L2:L200)</f>
      </c>
      <c r="K5" s="5">
        <f>SUM(Primary_Zone_Chain!M2:M200)</f>
      </c>
      <c r="L5" s="5">
        <f>SUM(Primary_Zone_Chain!N2:N200)</f>
      </c>
      <c r="M5" s="5">
        <f>SUM(Primary_Zone_Chain!O2:O200)</f>
      </c>
      <c r="N5" s="5">
        <f>SUM(Primary_Zone_Chain!P2:P200)</f>
      </c>
      <c r="O5" s="5">
        <f>SUM(Primary_Zone_Chain!Q2:Q200)</f>
      </c>
      <c r="P5" s="5">
        <f>SUM(Primary_Zone_Chain!R2:R200)</f>
      </c>
    </row>
    <row r="6">
      <c r="A6" t="str">
        <v>MoM %</v>
      </c>
      <c r="C6" s="2">
        <f>C5/B5-1</f>
      </c>
      <c r="D6" s="2">
        <f>D5/C5-1</f>
      </c>
      <c r="E6" s="2">
        <f>E5/D5-1</f>
      </c>
      <c r="F6" s="2">
        <f>F5/E5-1</f>
      </c>
      <c r="G6" s="2">
        <f>G5/F5-1</f>
      </c>
      <c r="H6" s="2">
        <f>H5/G5-1</f>
      </c>
      <c r="I6" s="2">
        <f>I5/H5-1</f>
      </c>
      <c r="J6" s="2">
        <f>J5/I5-1</f>
      </c>
      <c r="K6" s="2">
        <f>K5/J5-1</f>
      </c>
      <c r="L6" s="2">
        <f>L5/K5-1</f>
      </c>
      <c r="M6" s="2">
        <f>M5/L5-1</f>
      </c>
      <c r="N6" s="2">
        <f>N5/M5-1</f>
      </c>
      <c r="O6" s="2">
        <f>O5/N5-1</f>
      </c>
      <c r="P6" s="2">
        <f>P5/O5-1</f>
      </c>
    </row>
    <row r="7">
      <c r="A7" t="str">
        <v>YoY %</v>
      </c>
      <c r="N7" s="2">
        <f>N5/B5-1</f>
      </c>
      <c r="O7" s="2">
        <f>O5/C5-1</f>
      </c>
      <c r="P7" s="2">
        <f>P5/D5-1</f>
      </c>
    </row>
    <row r="9">
      <c r="A9" t="str">
        <v>HEADLINES</v>
      </c>
    </row>
    <row r="10">
      <c r="A10" t="str">
        <v>Jun'26 Primary (₹ Cr)</v>
      </c>
      <c r="C10" s="3">
        <f>P5/100</f>
      </c>
    </row>
    <row r="11">
      <c r="A11" t="str">
        <v>MoM %</v>
      </c>
      <c r="C11" s="2">
        <f>P5/O5-1</f>
      </c>
    </row>
    <row r="12">
      <c r="A12" t="str">
        <v>GOLY % (vs Jun'25)</v>
      </c>
      <c r="C12" s="2">
        <f>P5/D5-1</f>
      </c>
    </row>
    <row r="13">
      <c r="A13" t="str">
        <v>Q1 FY27 (₹ Cr)</v>
      </c>
      <c r="C13" s="3">
        <f>SUM(N5:P5)/100</f>
      </c>
    </row>
    <row r="14">
      <c r="A14" t="str">
        <v>Q1 FY26 (₹ Cr)</v>
      </c>
      <c r="C14" s="3">
        <f>SUM(B5:D5)/100</f>
      </c>
    </row>
    <row r="15">
      <c r="A15" t="str">
        <v>Q1 growth %</v>
      </c>
      <c r="C15" s="2">
        <f>SUM(N5:P5)/SUM(B5:D5)-1</f>
      </c>
    </row>
    <row r="17">
      <c r="A17" t="str">
        <v>BY CHAIN (top primary billings)</v>
      </c>
    </row>
    <row r="18">
      <c r="A18" t="str">
        <v/>
      </c>
      <c r="B18" t="str">
        <v>Jun-25</v>
      </c>
      <c r="C18" t="str">
        <v>Apr-26</v>
      </c>
      <c r="D18" t="str">
        <v>May-26</v>
      </c>
      <c r="E18" t="str">
        <v>Jun-26</v>
      </c>
      <c r="F18" t="str">
        <v>MoM %</v>
      </c>
      <c r="G18" t="str">
        <v>GOLY %</v>
      </c>
      <c r="H18" t="str">
        <v>Q1 FY26</v>
      </c>
      <c r="I18" t="str">
        <v>Q1 FY27</v>
      </c>
      <c r="J18" t="str">
        <v>Q1 Gr %</v>
      </c>
    </row>
    <row r="19">
      <c r="A19" t="str">
        <v>D-Mart</v>
      </c>
      <c r="B19" s="5">
        <f>SUMIF(Primary_Zone_Chain!$C:$C,"D-Mart",Primary_Zone_Chain!F:F)</f>
      </c>
      <c r="C19" s="5">
        <f>SUMIF(Primary_Zone_Chain!$C:$C,"D-Mart",Primary_Zone_Chain!P:P)</f>
      </c>
      <c r="D19" s="5">
        <f>SUMIF(Primary_Zone_Chain!$C:$C,"D-Mart",Primary_Zone_Chain!Q:Q)</f>
      </c>
      <c r="E19" s="5">
        <f>SUMIF(Primary_Zone_Chain!$C:$C,"D-Mart",Primary_Zone_Chain!R:R)</f>
      </c>
      <c r="F19" s="2">
        <f>SUMIF(Primary_Zone_Chain!$C:$C,"D-Mart",Primary_Zone_Chain!R:R)/SUMIF(Primary_Zone_Chain!$C:$C,"D-Mart",Primary_Zone_Chain!Q:Q)-1</f>
      </c>
      <c r="G19" s="2">
        <f>SUMIF(Primary_Zone_Chain!$C:$C,"D-Mart",Primary_Zone_Chain!R:R)/SUMIF(Primary_Zone_Chain!$C:$C,"D-Mart",Primary_Zone_Chain!F:F)-1</f>
      </c>
      <c r="H19" s="5">
        <f>SUMIF(Primary_Zone_Chain!$C:$C,"D-Mart",Primary_Zone_Chain!D:D)+SUMIF(Primary_Zone_Chain!$C:$C,"D-Mart",Primary_Zone_Chain!E:E)+SUMIF(Primary_Zone_Chain!$C:$C,"D-Mart",Primary_Zone_Chain!F:F)</f>
      </c>
      <c r="I19" s="5">
        <f>SUMIF(Primary_Zone_Chain!$C:$C,"D-Mart",Primary_Zone_Chain!P:P)+SUMIF(Primary_Zone_Chain!$C:$C,"D-Mart",Primary_Zone_Chain!Q:Q)+SUMIF(Primary_Zone_Chain!$C:$C,"D-Mart",Primary_Zone_Chain!R:R)</f>
      </c>
      <c r="J19" s="2">
        <f>(SUMIF(Primary_Zone_Chain!$C:$C,"D-Mart",Primary_Zone_Chain!P:P)+SUMIF(Primary_Zone_Chain!$C:$C,"D-Mart",Primary_Zone_Chain!Q:Q)+SUMIF(Primary_Zone_Chain!$C:$C,"D-Mart",Primary_Zone_Chain!R:R))/(SUMIF(Primary_Zone_Chain!$C:$C,"D-Mart",Primary_Zone_Chain!D:D)+SUMIF(Primary_Zone_Chain!$C:$C,"D-Mart",Primary_Zone_Chain!E:E)+SUMIF(Primary_Zone_Chain!$C:$C,"D-Mart",Primary_Zone_Chain!F:F))-1</f>
      </c>
    </row>
    <row r="20">
      <c r="A20" t="str">
        <v>Reliance Retail</v>
      </c>
      <c r="B20" s="5">
        <f>SUMIF(Primary_Zone_Chain!$C:$C,"Reliance Retail",Primary_Zone_Chain!F:F)</f>
      </c>
      <c r="C20" s="5">
        <f>SUMIF(Primary_Zone_Chain!$C:$C,"Reliance Retail",Primary_Zone_Chain!P:P)</f>
      </c>
      <c r="D20" s="5">
        <f>SUMIF(Primary_Zone_Chain!$C:$C,"Reliance Retail",Primary_Zone_Chain!Q:Q)</f>
      </c>
      <c r="E20" s="5">
        <f>SUMIF(Primary_Zone_Chain!$C:$C,"Reliance Retail",Primary_Zone_Chain!R:R)</f>
      </c>
      <c r="F20" s="2">
        <f>SUMIF(Primary_Zone_Chain!$C:$C,"Reliance Retail",Primary_Zone_Chain!R:R)/SUMIF(Primary_Zone_Chain!$C:$C,"Reliance Retail",Primary_Zone_Chain!Q:Q)-1</f>
      </c>
      <c r="G20" s="2">
        <f>SUMIF(Primary_Zone_Chain!$C:$C,"Reliance Retail",Primary_Zone_Chain!R:R)/SUMIF(Primary_Zone_Chain!$C:$C,"Reliance Retail",Primary_Zone_Chain!F:F)-1</f>
      </c>
      <c r="H20" s="5">
        <f>SUMIF(Primary_Zone_Chain!$C:$C,"Reliance Retail",Primary_Zone_Chain!D:D)+SUMIF(Primary_Zone_Chain!$C:$C,"Reliance Retail",Primary_Zone_Chain!E:E)+SUMIF(Primary_Zone_Chain!$C:$C,"Reliance Retail",Primary_Zone_Chain!F:F)</f>
      </c>
      <c r="I20" s="5">
        <f>SUMIF(Primary_Zone_Chain!$C:$C,"Reliance Retail",Primary_Zone_Chain!P:P)+SUMIF(Primary_Zone_Chain!$C:$C,"Reliance Retail",Primary_Zone_Chain!Q:Q)+SUMIF(Primary_Zone_Chain!$C:$C,"Reliance Retail",Primary_Zone_Chain!R:R)</f>
      </c>
      <c r="J20" s="2">
        <f>(SUMIF(Primary_Zone_Chain!$C:$C,"Reliance Retail",Primary_Zone_Chain!P:P)+SUMIF(Primary_Zone_Chain!$C:$C,"Reliance Retail",Primary_Zone_Chain!Q:Q)+SUMIF(Primary_Zone_Chain!$C:$C,"Reliance Retail",Primary_Zone_Chain!R:R))/(SUMIF(Primary_Zone_Chain!$C:$C,"Reliance Retail",Primary_Zone_Chain!D:D)+SUMIF(Primary_Zone_Chain!$C:$C,"Reliance Retail",Primary_Zone_Chain!E:E)+SUMIF(Primary_Zone_Chain!$C:$C,"Reliance Retail",Primary_Zone_Chain!F:F))-1</f>
      </c>
    </row>
    <row r="21">
      <c r="A21" t="str">
        <v>Apollo Healthco</v>
      </c>
      <c r="B21" s="5">
        <f>SUMIF(Primary_Zone_Chain!$C:$C,"Apollo Healthco",Primary_Zone_Chain!F:F)</f>
      </c>
      <c r="C21" s="5">
        <f>SUMIF(Primary_Zone_Chain!$C:$C,"Apollo Healthco",Primary_Zone_Chain!P:P)</f>
      </c>
      <c r="D21" s="5">
        <f>SUMIF(Primary_Zone_Chain!$C:$C,"Apollo Healthco",Primary_Zone_Chain!Q:Q)</f>
      </c>
      <c r="E21" s="5">
        <f>SUMIF(Primary_Zone_Chain!$C:$C,"Apollo Healthco",Primary_Zone_Chain!R:R)</f>
      </c>
      <c r="F21" s="2">
        <f>SUMIF(Primary_Zone_Chain!$C:$C,"Apollo Healthco",Primary_Zone_Chain!R:R)/SUMIF(Primary_Zone_Chain!$C:$C,"Apollo Healthco",Primary_Zone_Chain!Q:Q)-1</f>
      </c>
      <c r="G21" s="2">
        <f>SUMIF(Primary_Zone_Chain!$C:$C,"Apollo Healthco",Primary_Zone_Chain!R:R)/SUMIF(Primary_Zone_Chain!$C:$C,"Apollo Healthco",Primary_Zone_Chain!F:F)-1</f>
      </c>
      <c r="H21" s="5">
        <f>SUMIF(Primary_Zone_Chain!$C:$C,"Apollo Healthco",Primary_Zone_Chain!D:D)+SUMIF(Primary_Zone_Chain!$C:$C,"Apollo Healthco",Primary_Zone_Chain!E:E)+SUMIF(Primary_Zone_Chain!$C:$C,"Apollo Healthco",Primary_Zone_Chain!F:F)</f>
      </c>
      <c r="I21" s="5">
        <f>SUMIF(Primary_Zone_Chain!$C:$C,"Apollo Healthco",Primary_Zone_Chain!P:P)+SUMIF(Primary_Zone_Chain!$C:$C,"Apollo Healthco",Primary_Zone_Chain!Q:Q)+SUMIF(Primary_Zone_Chain!$C:$C,"Apollo Healthco",Primary_Zone_Chain!R:R)</f>
      </c>
      <c r="J21" s="2">
        <f>(SUMIF(Primary_Zone_Chain!$C:$C,"Apollo Healthco",Primary_Zone_Chain!P:P)+SUMIF(Primary_Zone_Chain!$C:$C,"Apollo Healthco",Primary_Zone_Chain!Q:Q)+SUMIF(Primary_Zone_Chain!$C:$C,"Apollo Healthco",Primary_Zone_Chain!R:R))/(SUMIF(Primary_Zone_Chain!$C:$C,"Apollo Healthco",Primary_Zone_Chain!D:D)+SUMIF(Primary_Zone_Chain!$C:$C,"Apollo Healthco",Primary_Zone_Chain!E:E)+SUMIF(Primary_Zone_Chain!$C:$C,"Apollo Healthco",Primary_Zone_Chain!F:F))-1</f>
      </c>
    </row>
    <row r="22">
      <c r="A22" t="str">
        <v>Lulu</v>
      </c>
      <c r="B22" s="5">
        <f>SUMIF(Primary_Zone_Chain!$C:$C,"Lulu",Primary_Zone_Chain!F:F)</f>
      </c>
      <c r="C22" s="5">
        <f>SUMIF(Primary_Zone_Chain!$C:$C,"Lulu",Primary_Zone_Chain!P:P)</f>
      </c>
      <c r="D22" s="5">
        <f>SUMIF(Primary_Zone_Chain!$C:$C,"Lulu",Primary_Zone_Chain!Q:Q)</f>
      </c>
      <c r="E22" s="5">
        <f>SUMIF(Primary_Zone_Chain!$C:$C,"Lulu",Primary_Zone_Chain!R:R)</f>
      </c>
      <c r="F22" s="2">
        <f>SUMIF(Primary_Zone_Chain!$C:$C,"Lulu",Primary_Zone_Chain!R:R)/SUMIF(Primary_Zone_Chain!$C:$C,"Lulu",Primary_Zone_Chain!Q:Q)-1</f>
      </c>
      <c r="G22" s="2">
        <f>SUMIF(Primary_Zone_Chain!$C:$C,"Lulu",Primary_Zone_Chain!R:R)/SUMIF(Primary_Zone_Chain!$C:$C,"Lulu",Primary_Zone_Chain!F:F)-1</f>
      </c>
      <c r="H22" s="5">
        <f>SUMIF(Primary_Zone_Chain!$C:$C,"Lulu",Primary_Zone_Chain!D:D)+SUMIF(Primary_Zone_Chain!$C:$C,"Lulu",Primary_Zone_Chain!E:E)+SUMIF(Primary_Zone_Chain!$C:$C,"Lulu",Primary_Zone_Chain!F:F)</f>
      </c>
      <c r="I22" s="5">
        <f>SUMIF(Primary_Zone_Chain!$C:$C,"Lulu",Primary_Zone_Chain!P:P)+SUMIF(Primary_Zone_Chain!$C:$C,"Lulu",Primary_Zone_Chain!Q:Q)+SUMIF(Primary_Zone_Chain!$C:$C,"Lulu",Primary_Zone_Chain!R:R)</f>
      </c>
      <c r="J22" s="2">
        <f>(SUMIF(Primary_Zone_Chain!$C:$C,"Lulu",Primary_Zone_Chain!P:P)+SUMIF(Primary_Zone_Chain!$C:$C,"Lulu",Primary_Zone_Chain!Q:Q)+SUMIF(Primary_Zone_Chain!$C:$C,"Lulu",Primary_Zone_Chain!R:R))/(SUMIF(Primary_Zone_Chain!$C:$C,"Lulu",Primary_Zone_Chain!D:D)+SUMIF(Primary_Zone_Chain!$C:$C,"Lulu",Primary_Zone_Chain!E:E)+SUMIF(Primary_Zone_Chain!$C:$C,"Lulu",Primary_Zone_Chain!F:F))-1</f>
      </c>
    </row>
    <row r="23">
      <c r="A23" t="str">
        <v>Wellness Forever</v>
      </c>
      <c r="B23" s="5">
        <f>SUMIF(Primary_Zone_Chain!$C:$C,"Wellness Forever",Primary_Zone_Chain!F:F)</f>
      </c>
      <c r="C23" s="5">
        <f>SUMIF(Primary_Zone_Chain!$C:$C,"Wellness Forever",Primary_Zone_Chain!P:P)</f>
      </c>
      <c r="D23" s="5">
        <f>SUMIF(Primary_Zone_Chain!$C:$C,"Wellness Forever",Primary_Zone_Chain!Q:Q)</f>
      </c>
      <c r="E23" s="5">
        <f>SUMIF(Primary_Zone_Chain!$C:$C,"Wellness Forever",Primary_Zone_Chain!R:R)</f>
      </c>
      <c r="F23" s="2">
        <f>SUMIF(Primary_Zone_Chain!$C:$C,"Wellness Forever",Primary_Zone_Chain!R:R)/SUMIF(Primary_Zone_Chain!$C:$C,"Wellness Forever",Primary_Zone_Chain!Q:Q)-1</f>
      </c>
      <c r="G23" s="2">
        <f>SUMIF(Primary_Zone_Chain!$C:$C,"Wellness Forever",Primary_Zone_Chain!R:R)/SUMIF(Primary_Zone_Chain!$C:$C,"Wellness Forever",Primary_Zone_Chain!F:F)-1</f>
      </c>
      <c r="H23" s="5">
        <f>SUMIF(Primary_Zone_Chain!$C:$C,"Wellness Forever",Primary_Zone_Chain!D:D)+SUMIF(Primary_Zone_Chain!$C:$C,"Wellness Forever",Primary_Zone_Chain!E:E)+SUMIF(Primary_Zone_Chain!$C:$C,"Wellness Forever",Primary_Zone_Chain!F:F)</f>
      </c>
      <c r="I23" s="5">
        <f>SUMIF(Primary_Zone_Chain!$C:$C,"Wellness Forever",Primary_Zone_Chain!P:P)+SUMIF(Primary_Zone_Chain!$C:$C,"Wellness Forever",Primary_Zone_Chain!Q:Q)+SUMIF(Primary_Zone_Chain!$C:$C,"Wellness Forever",Primary_Zone_Chain!R:R)</f>
      </c>
      <c r="J23" s="2">
        <f>(SUMIF(Primary_Zone_Chain!$C:$C,"Wellness Forever",Primary_Zone_Chain!P:P)+SUMIF(Primary_Zone_Chain!$C:$C,"Wellness Forever",Primary_Zone_Chain!Q:Q)+SUMIF(Primary_Zone_Chain!$C:$C,"Wellness Forever",Primary_Zone_Chain!R:R))/(SUMIF(Primary_Zone_Chain!$C:$C,"Wellness Forever",Primary_Zone_Chain!D:D)+SUMIF(Primary_Zone_Chain!$C:$C,"Wellness Forever",Primary_Zone_Chain!E:E)+SUMIF(Primary_Zone_Chain!$C:$C,"Wellness Forever",Primary_Zone_Chain!F:F))-1</f>
      </c>
    </row>
    <row r="24">
      <c r="A24" t="str">
        <v>H&amp;G</v>
      </c>
      <c r="B24" s="5">
        <f>SUMIF(Primary_Zone_Chain!$C:$C,"H&amp;G",Primary_Zone_Chain!F:F)</f>
      </c>
      <c r="C24" s="5">
        <f>SUMIF(Primary_Zone_Chain!$C:$C,"H&amp;G",Primary_Zone_Chain!P:P)</f>
      </c>
      <c r="D24" s="5">
        <f>SUMIF(Primary_Zone_Chain!$C:$C,"H&amp;G",Primary_Zone_Chain!Q:Q)</f>
      </c>
      <c r="E24" s="5">
        <f>SUMIF(Primary_Zone_Chain!$C:$C,"H&amp;G",Primary_Zone_Chain!R:R)</f>
      </c>
      <c r="F24" s="2">
        <f>SUMIF(Primary_Zone_Chain!$C:$C,"H&amp;G",Primary_Zone_Chain!R:R)/SUMIF(Primary_Zone_Chain!$C:$C,"H&amp;G",Primary_Zone_Chain!Q:Q)-1</f>
      </c>
      <c r="G24" s="2">
        <f>SUMIF(Primary_Zone_Chain!$C:$C,"H&amp;G",Primary_Zone_Chain!R:R)/SUMIF(Primary_Zone_Chain!$C:$C,"H&amp;G",Primary_Zone_Chain!F:F)-1</f>
      </c>
      <c r="H24" s="5">
        <f>SUMIF(Primary_Zone_Chain!$C:$C,"H&amp;G",Primary_Zone_Chain!D:D)+SUMIF(Primary_Zone_Chain!$C:$C,"H&amp;G",Primary_Zone_Chain!E:E)+SUMIF(Primary_Zone_Chain!$C:$C,"H&amp;G",Primary_Zone_Chain!F:F)</f>
      </c>
      <c r="I24" s="5">
        <f>SUMIF(Primary_Zone_Chain!$C:$C,"H&amp;G",Primary_Zone_Chain!P:P)+SUMIF(Primary_Zone_Chain!$C:$C,"H&amp;G",Primary_Zone_Chain!Q:Q)+SUMIF(Primary_Zone_Chain!$C:$C,"H&amp;G",Primary_Zone_Chain!R:R)</f>
      </c>
      <c r="J24" s="2">
        <f>(SUMIF(Primary_Zone_Chain!$C:$C,"H&amp;G",Primary_Zone_Chain!P:P)+SUMIF(Primary_Zone_Chain!$C:$C,"H&amp;G",Primary_Zone_Chain!Q:Q)+SUMIF(Primary_Zone_Chain!$C:$C,"H&amp;G",Primary_Zone_Chain!R:R))/(SUMIF(Primary_Zone_Chain!$C:$C,"H&amp;G",Primary_Zone_Chain!D:D)+SUMIF(Primary_Zone_Chain!$C:$C,"H&amp;G",Primary_Zone_Chain!E:E)+SUMIF(Primary_Zone_Chain!$C:$C,"H&amp;G",Primary_Zone_Chain!F:F))-1</f>
      </c>
    </row>
    <row r="25">
      <c r="A25" t="str">
        <v>RMT-Sancus</v>
      </c>
      <c r="B25" s="5">
        <f>SUMIF(Primary_Zone_Chain!$C:$C,"RMT-Sancus",Primary_Zone_Chain!F:F)</f>
      </c>
      <c r="C25" s="5">
        <f>SUMIF(Primary_Zone_Chain!$C:$C,"RMT-Sancus",Primary_Zone_Chain!P:P)</f>
      </c>
      <c r="D25" s="5">
        <f>SUMIF(Primary_Zone_Chain!$C:$C,"RMT-Sancus",Primary_Zone_Chain!Q:Q)</f>
      </c>
      <c r="E25" s="5">
        <f>SUMIF(Primary_Zone_Chain!$C:$C,"RMT-Sancus",Primary_Zone_Chain!R:R)</f>
      </c>
      <c r="F25" s="2">
        <f>SUMIF(Primary_Zone_Chain!$C:$C,"RMT-Sancus",Primary_Zone_Chain!R:R)/SUMIF(Primary_Zone_Chain!$C:$C,"RMT-Sancus",Primary_Zone_Chain!Q:Q)-1</f>
      </c>
      <c r="G25" s="2">
        <f>SUMIF(Primary_Zone_Chain!$C:$C,"RMT-Sancus",Primary_Zone_Chain!R:R)/SUMIF(Primary_Zone_Chain!$C:$C,"RMT-Sancus",Primary_Zone_Chain!F:F)-1</f>
      </c>
      <c r="H25" s="5">
        <f>SUMIF(Primary_Zone_Chain!$C:$C,"RMT-Sancus",Primary_Zone_Chain!D:D)+SUMIF(Primary_Zone_Chain!$C:$C,"RMT-Sancus",Primary_Zone_Chain!E:E)+SUMIF(Primary_Zone_Chain!$C:$C,"RMT-Sancus",Primary_Zone_Chain!F:F)</f>
      </c>
      <c r="I25" s="5">
        <f>SUMIF(Primary_Zone_Chain!$C:$C,"RMT-Sancus",Primary_Zone_Chain!P:P)+SUMIF(Primary_Zone_Chain!$C:$C,"RMT-Sancus",Primary_Zone_Chain!Q:Q)+SUMIF(Primary_Zone_Chain!$C:$C,"RMT-Sancus",Primary_Zone_Chain!R:R)</f>
      </c>
      <c r="J25" s="2">
        <f>(SUMIF(Primary_Zone_Chain!$C:$C,"RMT-Sancus",Primary_Zone_Chain!P:P)+SUMIF(Primary_Zone_Chain!$C:$C,"RMT-Sancus",Primary_Zone_Chain!Q:Q)+SUMIF(Primary_Zone_Chain!$C:$C,"RMT-Sancus",Primary_Zone_Chain!R:R))/(SUMIF(Primary_Zone_Chain!$C:$C,"RMT-Sancus",Primary_Zone_Chain!D:D)+SUMIF(Primary_Zone_Chain!$C:$C,"RMT-Sancus",Primary_Zone_Chain!E:E)+SUMIF(Primary_Zone_Chain!$C:$C,"RMT-Sancus",Primary_Zone_Chain!F:F))-1</f>
      </c>
    </row>
    <row r="26">
      <c r="A26" t="str">
        <v>VMM</v>
      </c>
      <c r="B26" s="5">
        <f>SUMIF(Primary_Zone_Chain!$C:$C,"VMM",Primary_Zone_Chain!F:F)</f>
      </c>
      <c r="C26" s="5">
        <f>SUMIF(Primary_Zone_Chain!$C:$C,"VMM",Primary_Zone_Chain!P:P)</f>
      </c>
      <c r="D26" s="5">
        <f>SUMIF(Primary_Zone_Chain!$C:$C,"VMM",Primary_Zone_Chain!Q:Q)</f>
      </c>
      <c r="E26" s="5">
        <f>SUMIF(Primary_Zone_Chain!$C:$C,"VMM",Primary_Zone_Chain!R:R)</f>
      </c>
      <c r="F26" s="2">
        <f>SUMIF(Primary_Zone_Chain!$C:$C,"VMM",Primary_Zone_Chain!R:R)/SUMIF(Primary_Zone_Chain!$C:$C,"VMM",Primary_Zone_Chain!Q:Q)-1</f>
      </c>
      <c r="G26" s="2">
        <f>SUMIF(Primary_Zone_Chain!$C:$C,"VMM",Primary_Zone_Chain!R:R)/SUMIF(Primary_Zone_Chain!$C:$C,"VMM",Primary_Zone_Chain!F:F)-1</f>
      </c>
      <c r="H26" s="5">
        <f>SUMIF(Primary_Zone_Chain!$C:$C,"VMM",Primary_Zone_Chain!D:D)+SUMIF(Primary_Zone_Chain!$C:$C,"VMM",Primary_Zone_Chain!E:E)+SUMIF(Primary_Zone_Chain!$C:$C,"VMM",Primary_Zone_Chain!F:F)</f>
      </c>
      <c r="I26" s="5">
        <f>SUMIF(Primary_Zone_Chain!$C:$C,"VMM",Primary_Zone_Chain!P:P)+SUMIF(Primary_Zone_Chain!$C:$C,"VMM",Primary_Zone_Chain!Q:Q)+SUMIF(Primary_Zone_Chain!$C:$C,"VMM",Primary_Zone_Chain!R:R)</f>
      </c>
      <c r="J26" s="2">
        <f>(SUMIF(Primary_Zone_Chain!$C:$C,"VMM",Primary_Zone_Chain!P:P)+SUMIF(Primary_Zone_Chain!$C:$C,"VMM",Primary_Zone_Chain!Q:Q)+SUMIF(Primary_Zone_Chain!$C:$C,"VMM",Primary_Zone_Chain!R:R))/(SUMIF(Primary_Zone_Chain!$C:$C,"VMM",Primary_Zone_Chain!D:D)+SUMIF(Primary_Zone_Chain!$C:$C,"VMM",Primary_Zone_Chain!E:E)+SUMIF(Primary_Zone_Chain!$C:$C,"VMM",Primary_Zone_Chain!F:F))-1</f>
      </c>
    </row>
    <row r="27">
      <c r="A27" t="str">
        <v>More Retail</v>
      </c>
      <c r="B27" s="5">
        <f>SUMIF(Primary_Zone_Chain!$C:$C,"More Retail",Primary_Zone_Chain!F:F)</f>
      </c>
      <c r="C27" s="5">
        <f>SUMIF(Primary_Zone_Chain!$C:$C,"More Retail",Primary_Zone_Chain!P:P)</f>
      </c>
      <c r="D27" s="5">
        <f>SUMIF(Primary_Zone_Chain!$C:$C,"More Retail",Primary_Zone_Chain!Q:Q)</f>
      </c>
      <c r="E27" s="5">
        <f>SUMIF(Primary_Zone_Chain!$C:$C,"More Retail",Primary_Zone_Chain!R:R)</f>
      </c>
      <c r="F27" s="2">
        <f>SUMIF(Primary_Zone_Chain!$C:$C,"More Retail",Primary_Zone_Chain!R:R)/SUMIF(Primary_Zone_Chain!$C:$C,"More Retail",Primary_Zone_Chain!Q:Q)-1</f>
      </c>
      <c r="G27" s="2">
        <f>SUMIF(Primary_Zone_Chain!$C:$C,"More Retail",Primary_Zone_Chain!R:R)/SUMIF(Primary_Zone_Chain!$C:$C,"More Retail",Primary_Zone_Chain!F:F)-1</f>
      </c>
      <c r="H27" s="5">
        <f>SUMIF(Primary_Zone_Chain!$C:$C,"More Retail",Primary_Zone_Chain!D:D)+SUMIF(Primary_Zone_Chain!$C:$C,"More Retail",Primary_Zone_Chain!E:E)+SUMIF(Primary_Zone_Chain!$C:$C,"More Retail",Primary_Zone_Chain!F:F)</f>
      </c>
      <c r="I27" s="5">
        <f>SUMIF(Primary_Zone_Chain!$C:$C,"More Retail",Primary_Zone_Chain!P:P)+SUMIF(Primary_Zone_Chain!$C:$C,"More Retail",Primary_Zone_Chain!Q:Q)+SUMIF(Primary_Zone_Chain!$C:$C,"More Retail",Primary_Zone_Chain!R:R)</f>
      </c>
      <c r="J27" s="2">
        <f>(SUMIF(Primary_Zone_Chain!$C:$C,"More Retail",Primary_Zone_Chain!P:P)+SUMIF(Primary_Zone_Chain!$C:$C,"More Retail",Primary_Zone_Chain!Q:Q)+SUMIF(Primary_Zone_Chain!$C:$C,"More Retail",Primary_Zone_Chain!R:R))/(SUMIF(Primary_Zone_Chain!$C:$C,"More Retail",Primary_Zone_Chain!D:D)+SUMIF(Primary_Zone_Chain!$C:$C,"More Retail",Primary_Zone_Chain!E:E)+SUMIF(Primary_Zone_Chain!$C:$C,"More Retail",Primary_Zone_Chain!F:F))-1</f>
      </c>
    </row>
    <row r="28">
      <c r="A28" t="str">
        <v>Nykaa SS(fsn)</v>
      </c>
      <c r="B28" s="5">
        <f>SUMIF(Primary_Zone_Chain!$C:$C,"Nykaa SS(fsn)",Primary_Zone_Chain!F:F)</f>
      </c>
      <c r="C28" s="5">
        <f>SUMIF(Primary_Zone_Chain!$C:$C,"Nykaa SS(fsn)",Primary_Zone_Chain!P:P)</f>
      </c>
      <c r="D28" s="5">
        <f>SUMIF(Primary_Zone_Chain!$C:$C,"Nykaa SS(fsn)",Primary_Zone_Chain!Q:Q)</f>
      </c>
      <c r="E28" s="5">
        <f>SUMIF(Primary_Zone_Chain!$C:$C,"Nykaa SS(fsn)",Primary_Zone_Chain!R:R)</f>
      </c>
      <c r="F28" s="2">
        <f>SUMIF(Primary_Zone_Chain!$C:$C,"Nykaa SS(fsn)",Primary_Zone_Chain!R:R)/SUMIF(Primary_Zone_Chain!$C:$C,"Nykaa SS(fsn)",Primary_Zone_Chain!Q:Q)-1</f>
      </c>
      <c r="G28" s="2">
        <f>SUMIF(Primary_Zone_Chain!$C:$C,"Nykaa SS(fsn)",Primary_Zone_Chain!R:R)/SUMIF(Primary_Zone_Chain!$C:$C,"Nykaa SS(fsn)",Primary_Zone_Chain!F:F)-1</f>
      </c>
      <c r="H28" s="5">
        <f>SUMIF(Primary_Zone_Chain!$C:$C,"Nykaa SS(fsn)",Primary_Zone_Chain!D:D)+SUMIF(Primary_Zone_Chain!$C:$C,"Nykaa SS(fsn)",Primary_Zone_Chain!E:E)+SUMIF(Primary_Zone_Chain!$C:$C,"Nykaa SS(fsn)",Primary_Zone_Chain!F:F)</f>
      </c>
      <c r="I28" s="5">
        <f>SUMIF(Primary_Zone_Chain!$C:$C,"Nykaa SS(fsn)",Primary_Zone_Chain!P:P)+SUMIF(Primary_Zone_Chain!$C:$C,"Nykaa SS(fsn)",Primary_Zone_Chain!Q:Q)+SUMIF(Primary_Zone_Chain!$C:$C,"Nykaa SS(fsn)",Primary_Zone_Chain!R:R)</f>
      </c>
      <c r="J28" s="2">
        <f>(SUMIF(Primary_Zone_Chain!$C:$C,"Nykaa SS(fsn)",Primary_Zone_Chain!P:P)+SUMIF(Primary_Zone_Chain!$C:$C,"Nykaa SS(fsn)",Primary_Zone_Chain!Q:Q)+SUMIF(Primary_Zone_Chain!$C:$C,"Nykaa SS(fsn)",Primary_Zone_Chain!R:R))/(SUMIF(Primary_Zone_Chain!$C:$C,"Nykaa SS(fsn)",Primary_Zone_Chain!D:D)+SUMIF(Primary_Zone_Chain!$C:$C,"Nykaa SS(fsn)",Primary_Zone_Chain!E:E)+SUMIF(Primary_Zone_Chain!$C:$C,"Nykaa SS(fsn)",Primary_Zone_Chain!F:F))-1</f>
      </c>
    </row>
    <row r="29">
      <c r="A29" t="str">
        <v>Metro-CNC-RRL</v>
      </c>
      <c r="B29" s="5">
        <f>SUMIF(Primary_Zone_Chain!$C:$C,"Metro-CNC-RRL",Primary_Zone_Chain!F:F)</f>
      </c>
      <c r="C29" s="5">
        <f>SUMIF(Primary_Zone_Chain!$C:$C,"Metro-CNC-RRL",Primary_Zone_Chain!P:P)</f>
      </c>
      <c r="D29" s="5">
        <f>SUMIF(Primary_Zone_Chain!$C:$C,"Metro-CNC-RRL",Primary_Zone_Chain!Q:Q)</f>
      </c>
      <c r="E29" s="5">
        <f>SUMIF(Primary_Zone_Chain!$C:$C,"Metro-CNC-RRL",Primary_Zone_Chain!R:R)</f>
      </c>
      <c r="F29" s="2">
        <f>SUMIF(Primary_Zone_Chain!$C:$C,"Metro-CNC-RRL",Primary_Zone_Chain!R:R)/SUMIF(Primary_Zone_Chain!$C:$C,"Metro-CNC-RRL",Primary_Zone_Chain!Q:Q)-1</f>
      </c>
      <c r="G29" s="2">
        <f>SUMIF(Primary_Zone_Chain!$C:$C,"Metro-CNC-RRL",Primary_Zone_Chain!R:R)/SUMIF(Primary_Zone_Chain!$C:$C,"Metro-CNC-RRL",Primary_Zone_Chain!F:F)-1</f>
      </c>
      <c r="H29" s="5">
        <f>SUMIF(Primary_Zone_Chain!$C:$C,"Metro-CNC-RRL",Primary_Zone_Chain!D:D)+SUMIF(Primary_Zone_Chain!$C:$C,"Metro-CNC-RRL",Primary_Zone_Chain!E:E)+SUMIF(Primary_Zone_Chain!$C:$C,"Metro-CNC-RRL",Primary_Zone_Chain!F:F)</f>
      </c>
      <c r="I29" s="5">
        <f>SUMIF(Primary_Zone_Chain!$C:$C,"Metro-CNC-RRL",Primary_Zone_Chain!P:P)+SUMIF(Primary_Zone_Chain!$C:$C,"Metro-CNC-RRL",Primary_Zone_Chain!Q:Q)+SUMIF(Primary_Zone_Chain!$C:$C,"Metro-CNC-RRL",Primary_Zone_Chain!R:R)</f>
      </c>
      <c r="J29" s="2">
        <f>(SUMIF(Primary_Zone_Chain!$C:$C,"Metro-CNC-RRL",Primary_Zone_Chain!P:P)+SUMIF(Primary_Zone_Chain!$C:$C,"Metro-CNC-RRL",Primary_Zone_Chain!Q:Q)+SUMIF(Primary_Zone_Chain!$C:$C,"Metro-CNC-RRL",Primary_Zone_Chain!R:R))/(SUMIF(Primary_Zone_Chain!$C:$C,"Metro-CNC-RRL",Primary_Zone_Chain!D:D)+SUMIF(Primary_Zone_Chain!$C:$C,"Metro-CNC-RRL",Primary_Zone_Chain!E:E)+SUMIF(Primary_Zone_Chain!$C:$C,"Metro-CNC-RRL",Primary_Zone_Chain!F:F))-1</f>
      </c>
    </row>
    <row r="30">
      <c r="A30" t="str">
        <v>Frankross</v>
      </c>
      <c r="B30" s="5">
        <f>SUMIF(Primary_Zone_Chain!$C:$C,"Frankross",Primary_Zone_Chain!F:F)</f>
      </c>
      <c r="C30" s="5">
        <f>SUMIF(Primary_Zone_Chain!$C:$C,"Frankross",Primary_Zone_Chain!P:P)</f>
      </c>
      <c r="D30" s="5">
        <f>SUMIF(Primary_Zone_Chain!$C:$C,"Frankross",Primary_Zone_Chain!Q:Q)</f>
      </c>
      <c r="E30" s="5">
        <f>SUMIF(Primary_Zone_Chain!$C:$C,"Frankross",Primary_Zone_Chain!R:R)</f>
      </c>
      <c r="F30" s="2">
        <f>SUMIF(Primary_Zone_Chain!$C:$C,"Frankross",Primary_Zone_Chain!R:R)/SUMIF(Primary_Zone_Chain!$C:$C,"Frankross",Primary_Zone_Chain!Q:Q)-1</f>
      </c>
      <c r="G30" s="2">
        <f>SUMIF(Primary_Zone_Chain!$C:$C,"Frankross",Primary_Zone_Chain!R:R)/SUMIF(Primary_Zone_Chain!$C:$C,"Frankross",Primary_Zone_Chain!F:F)-1</f>
      </c>
      <c r="H30" s="5">
        <f>SUMIF(Primary_Zone_Chain!$C:$C,"Frankross",Primary_Zone_Chain!D:D)+SUMIF(Primary_Zone_Chain!$C:$C,"Frankross",Primary_Zone_Chain!E:E)+SUMIF(Primary_Zone_Chain!$C:$C,"Frankross",Primary_Zone_Chain!F:F)</f>
      </c>
      <c r="I30" s="5">
        <f>SUMIF(Primary_Zone_Chain!$C:$C,"Frankross",Primary_Zone_Chain!P:P)+SUMIF(Primary_Zone_Chain!$C:$C,"Frankross",Primary_Zone_Chain!Q:Q)+SUMIF(Primary_Zone_Chain!$C:$C,"Frankross",Primary_Zone_Chain!R:R)</f>
      </c>
      <c r="J30" s="2">
        <f>(SUMIF(Primary_Zone_Chain!$C:$C,"Frankross",Primary_Zone_Chain!P:P)+SUMIF(Primary_Zone_Chain!$C:$C,"Frankross",Primary_Zone_Chain!Q:Q)+SUMIF(Primary_Zone_Chain!$C:$C,"Frankross",Primary_Zone_Chain!R:R))/(SUMIF(Primary_Zone_Chain!$C:$C,"Frankross",Primary_Zone_Chain!D:D)+SUMIF(Primary_Zone_Chain!$C:$C,"Frankross",Primary_Zone_Chain!E:E)+SUMIF(Primary_Zone_Chain!$C:$C,"Frankross",Primary_Zone_Chain!F:F))-1</f>
      </c>
    </row>
    <row r="31">
      <c r="A31" t="str">
        <v>Spencer</v>
      </c>
      <c r="B31" s="5">
        <f>SUMIF(Primary_Zone_Chain!$C:$C,"Spencer",Primary_Zone_Chain!F:F)</f>
      </c>
      <c r="C31" s="5">
        <f>SUMIF(Primary_Zone_Chain!$C:$C,"Spencer",Primary_Zone_Chain!P:P)</f>
      </c>
      <c r="D31" s="5">
        <f>SUMIF(Primary_Zone_Chain!$C:$C,"Spencer",Primary_Zone_Chain!Q:Q)</f>
      </c>
      <c r="E31" s="5">
        <f>SUMIF(Primary_Zone_Chain!$C:$C,"Spencer",Primary_Zone_Chain!R:R)</f>
      </c>
      <c r="F31" s="2">
        <f>SUMIF(Primary_Zone_Chain!$C:$C,"Spencer",Primary_Zone_Chain!R:R)/SUMIF(Primary_Zone_Chain!$C:$C,"Spencer",Primary_Zone_Chain!Q:Q)-1</f>
      </c>
      <c r="G31" s="2">
        <f>SUMIF(Primary_Zone_Chain!$C:$C,"Spencer",Primary_Zone_Chain!R:R)/SUMIF(Primary_Zone_Chain!$C:$C,"Spencer",Primary_Zone_Chain!F:F)-1</f>
      </c>
      <c r="H31" s="5">
        <f>SUMIF(Primary_Zone_Chain!$C:$C,"Spencer",Primary_Zone_Chain!D:D)+SUMIF(Primary_Zone_Chain!$C:$C,"Spencer",Primary_Zone_Chain!E:E)+SUMIF(Primary_Zone_Chain!$C:$C,"Spencer",Primary_Zone_Chain!F:F)</f>
      </c>
      <c r="I31" s="5">
        <f>SUMIF(Primary_Zone_Chain!$C:$C,"Spencer",Primary_Zone_Chain!P:P)+SUMIF(Primary_Zone_Chain!$C:$C,"Spencer",Primary_Zone_Chain!Q:Q)+SUMIF(Primary_Zone_Chain!$C:$C,"Spencer",Primary_Zone_Chain!R:R)</f>
      </c>
      <c r="J31" s="2">
        <f>(SUMIF(Primary_Zone_Chain!$C:$C,"Spencer",Primary_Zone_Chain!P:P)+SUMIF(Primary_Zone_Chain!$C:$C,"Spencer",Primary_Zone_Chain!Q:Q)+SUMIF(Primary_Zone_Chain!$C:$C,"Spencer",Primary_Zone_Chain!R:R))/(SUMIF(Primary_Zone_Chain!$C:$C,"Spencer",Primary_Zone_Chain!D:D)+SUMIF(Primary_Zone_Chain!$C:$C,"Spencer",Primary_Zone_Chain!E:E)+SUMIF(Primary_Zone_Chain!$C:$C,"Spencer",Primary_Zone_Chain!F:F))-1</f>
      </c>
    </row>
    <row r="32">
      <c r="A32" t="str">
        <v>Walmart CNC</v>
      </c>
      <c r="B32" s="5">
        <f>SUMIF(Primary_Zone_Chain!$C:$C,"Walmart CNC",Primary_Zone_Chain!F:F)</f>
      </c>
      <c r="C32" s="5">
        <f>SUMIF(Primary_Zone_Chain!$C:$C,"Walmart CNC",Primary_Zone_Chain!P:P)</f>
      </c>
      <c r="D32" s="5">
        <f>SUMIF(Primary_Zone_Chain!$C:$C,"Walmart CNC",Primary_Zone_Chain!Q:Q)</f>
      </c>
      <c r="E32" s="5">
        <f>SUMIF(Primary_Zone_Chain!$C:$C,"Walmart CNC",Primary_Zone_Chain!R:R)</f>
      </c>
      <c r="F32" s="2">
        <f>SUMIF(Primary_Zone_Chain!$C:$C,"Walmart CNC",Primary_Zone_Chain!R:R)/SUMIF(Primary_Zone_Chain!$C:$C,"Walmart CNC",Primary_Zone_Chain!Q:Q)-1</f>
      </c>
      <c r="G32" s="2">
        <f>SUMIF(Primary_Zone_Chain!$C:$C,"Walmart CNC",Primary_Zone_Chain!R:R)/SUMIF(Primary_Zone_Chain!$C:$C,"Walmart CNC",Primary_Zone_Chain!F:F)-1</f>
      </c>
      <c r="H32" s="5">
        <f>SUMIF(Primary_Zone_Chain!$C:$C,"Walmart CNC",Primary_Zone_Chain!D:D)+SUMIF(Primary_Zone_Chain!$C:$C,"Walmart CNC",Primary_Zone_Chain!E:E)+SUMIF(Primary_Zone_Chain!$C:$C,"Walmart CNC",Primary_Zone_Chain!F:F)</f>
      </c>
      <c r="I32" s="5">
        <f>SUMIF(Primary_Zone_Chain!$C:$C,"Walmart CNC",Primary_Zone_Chain!P:P)+SUMIF(Primary_Zone_Chain!$C:$C,"Walmart CNC",Primary_Zone_Chain!Q:Q)+SUMIF(Primary_Zone_Chain!$C:$C,"Walmart CNC",Primary_Zone_Chain!R:R)</f>
      </c>
      <c r="J32" s="2">
        <f>(SUMIF(Primary_Zone_Chain!$C:$C,"Walmart CNC",Primary_Zone_Chain!P:P)+SUMIF(Primary_Zone_Chain!$C:$C,"Walmart CNC",Primary_Zone_Chain!Q:Q)+SUMIF(Primary_Zone_Chain!$C:$C,"Walmart CNC",Primary_Zone_Chain!R:R))/(SUMIF(Primary_Zone_Chain!$C:$C,"Walmart CNC",Primary_Zone_Chain!D:D)+SUMIF(Primary_Zone_Chain!$C:$C,"Walmart CNC",Primary_Zone_Chain!E:E)+SUMIF(Primary_Zone_Chain!$C:$C,"Walmart CNC",Primary_Zone_Chain!F:F))-1</f>
      </c>
    </row>
    <row r="34">
      <c r="A34" t="str">
        <v>BY BRAND (₹ Lacs, from Primary_Brand_Monthly ₹)</v>
      </c>
    </row>
    <row r="35">
      <c r="A35" t="str">
        <v/>
      </c>
      <c r="B35" t="str">
        <v>Jun-25</v>
      </c>
      <c r="C35" t="str">
        <v>Apr-26</v>
      </c>
      <c r="D35" t="str">
        <v>May-26</v>
      </c>
      <c r="E35" t="str">
        <v>Jun-26</v>
      </c>
      <c r="F35" t="str">
        <v>MoM %</v>
      </c>
      <c r="G35" t="str">
        <v>GOLY %</v>
      </c>
      <c r="H35" t="str">
        <v>Q1 FY26</v>
      </c>
      <c r="I35" t="str">
        <v>Q1 FY27</v>
      </c>
      <c r="J35" t="str">
        <v>Q1 Gr %</v>
      </c>
    </row>
    <row r="36">
      <c r="A36" t="str">
        <v>Mamaearth (MT)</v>
      </c>
      <c r="B36" s="5">
        <f>SUMIFS(Primary_Brand_Monthly!I:I,Primary_Brand_Monthly!$A:$A,"MT",Primary_Brand_Monthly!$B:$B,"Mamaearth",Primary_Brand_Monthly!$C:$C,"ALL")/100000</f>
      </c>
      <c r="C36" s="5">
        <f>SUMIFS(Primary_Brand_Monthly!S:S,Primary_Brand_Monthly!$A:$A,"MT",Primary_Brand_Monthly!$B:$B,"Mamaearth",Primary_Brand_Monthly!$C:$C,"ALL")/100000</f>
      </c>
      <c r="D36" s="5">
        <f>SUMIFS(Primary_Brand_Monthly!T:T,Primary_Brand_Monthly!$A:$A,"MT",Primary_Brand_Monthly!$B:$B,"Mamaearth",Primary_Brand_Monthly!$C:$C,"ALL")/100000</f>
      </c>
      <c r="E36" s="5">
        <f>SUMIFS(Primary_Brand_Monthly!U:U,Primary_Brand_Monthly!$A:$A,"MT",Primary_Brand_Monthly!$B:$B,"Mamaearth",Primary_Brand_Monthly!$C:$C,"ALL")/100000</f>
      </c>
      <c r="F36" s="2">
        <f>SUMIFS(Primary_Brand_Monthly!U:U,Primary_Brand_Monthly!$A:$A,"MT",Primary_Brand_Monthly!$B:$B,"Mamaearth",Primary_Brand_Monthly!$C:$C,"ALL")/100000/SUMIFS(Primary_Brand_Monthly!T:T,Primary_Brand_Monthly!$A:$A,"MT",Primary_Brand_Monthly!$B:$B,"Mamaearth",Primary_Brand_Monthly!$C:$C,"ALL")/100000-1</f>
      </c>
      <c r="G36" s="2">
        <f>SUMIFS(Primary_Brand_Monthly!U:U,Primary_Brand_Monthly!$A:$A,"MT",Primary_Brand_Monthly!$B:$B,"Mamaearth",Primary_Brand_Monthly!$C:$C,"ALL")/100000/SUMIFS(Primary_Brand_Monthly!I:I,Primary_Brand_Monthly!$A:$A,"MT",Primary_Brand_Monthly!$B:$B,"Mamaearth",Primary_Brand_Monthly!$C:$C,"ALL")/100000-1</f>
      </c>
      <c r="H36" s="5">
        <f>SUMIFS(Primary_Brand_Monthly!G:G,Primary_Brand_Monthly!$A:$A,"MT",Primary_Brand_Monthly!$B:$B,"Mamaearth",Primary_Brand_Monthly!$C:$C,"ALL")/100000+SUMIFS(Primary_Brand_Monthly!H:H,Primary_Brand_Monthly!$A:$A,"MT",Primary_Brand_Monthly!$B:$B,"Mamaearth",Primary_Brand_Monthly!$C:$C,"ALL")/100000+SUMIFS(Primary_Brand_Monthly!I:I,Primary_Brand_Monthly!$A:$A,"MT",Primary_Brand_Monthly!$B:$B,"Mamaearth",Primary_Brand_Monthly!$C:$C,"ALL")/100000</f>
      </c>
      <c r="I36" s="5">
        <f>SUMIFS(Primary_Brand_Monthly!S:S,Primary_Brand_Monthly!$A:$A,"MT",Primary_Brand_Monthly!$B:$B,"Mamaearth",Primary_Brand_Monthly!$C:$C,"ALL")/100000+SUMIFS(Primary_Brand_Monthly!T:T,Primary_Brand_Monthly!$A:$A,"MT",Primary_Brand_Monthly!$B:$B,"Mamaearth",Primary_Brand_Monthly!$C:$C,"ALL")/100000+SUMIFS(Primary_Brand_Monthly!U:U,Primary_Brand_Monthly!$A:$A,"MT",Primary_Brand_Monthly!$B:$B,"Mamaearth",Primary_Brand_Monthly!$C:$C,"ALL")/100000</f>
      </c>
      <c r="J36" s="2">
        <f>(SUMIFS(Primary_Brand_Monthly!S:S,Primary_Brand_Monthly!$A:$A,"MT",Primary_Brand_Monthly!$B:$B,"Mamaearth",Primary_Brand_Monthly!$C:$C,"ALL")/100000+SUMIFS(Primary_Brand_Monthly!T:T,Primary_Brand_Monthly!$A:$A,"MT",Primary_Brand_Monthly!$B:$B,"Mamaearth",Primary_Brand_Monthly!$C:$C,"ALL")/100000+SUMIFS(Primary_Brand_Monthly!U:U,Primary_Brand_Monthly!$A:$A,"MT",Primary_Brand_Monthly!$B:$B,"Mamaearth",Primary_Brand_Monthly!$C:$C,"ALL")/100000)/(SUMIFS(Primary_Brand_Monthly!G:G,Primary_Brand_Monthly!$A:$A,"MT",Primary_Brand_Monthly!$B:$B,"Mamaearth",Primary_Brand_Monthly!$C:$C,"ALL")/100000+SUMIFS(Primary_Brand_Monthly!H:H,Primary_Brand_Monthly!$A:$A,"MT",Primary_Brand_Monthly!$B:$B,"Mamaearth",Primary_Brand_Monthly!$C:$C,"ALL")/100000+SUMIFS(Primary_Brand_Monthly!I:I,Primary_Brand_Monthly!$A:$A,"MT",Primary_Brand_Monthly!$B:$B,"Mamaearth",Primary_Brand_Monthly!$C:$C,"ALL")/100000)-1</f>
      </c>
    </row>
    <row r="37">
      <c r="A37" t="str">
        <v>The Derma Co. (MT)</v>
      </c>
      <c r="B37" s="5">
        <f>SUMIFS(Primary_Brand_Monthly!I:I,Primary_Brand_Monthly!$A:$A,"MT",Primary_Brand_Monthly!$B:$B,"The Derma Co.",Primary_Brand_Monthly!$C:$C,"ALL")/100000</f>
      </c>
      <c r="C37" s="5">
        <f>SUMIFS(Primary_Brand_Monthly!S:S,Primary_Brand_Monthly!$A:$A,"MT",Primary_Brand_Monthly!$B:$B,"The Derma Co.",Primary_Brand_Monthly!$C:$C,"ALL")/100000</f>
      </c>
      <c r="D37" s="5">
        <f>SUMIFS(Primary_Brand_Monthly!T:T,Primary_Brand_Monthly!$A:$A,"MT",Primary_Brand_Monthly!$B:$B,"The Derma Co.",Primary_Brand_Monthly!$C:$C,"ALL")/100000</f>
      </c>
      <c r="E37" s="5">
        <f>SUMIFS(Primary_Brand_Monthly!U:U,Primary_Brand_Monthly!$A:$A,"MT",Primary_Brand_Monthly!$B:$B,"The Derma Co.",Primary_Brand_Monthly!$C:$C,"ALL")/100000</f>
      </c>
      <c r="F37" s="2">
        <f>SUMIFS(Primary_Brand_Monthly!U:U,Primary_Brand_Monthly!$A:$A,"MT",Primary_Brand_Monthly!$B:$B,"The Derma Co.",Primary_Brand_Monthly!$C:$C,"ALL")/100000/SUMIFS(Primary_Brand_Monthly!T:T,Primary_Brand_Monthly!$A:$A,"MT",Primary_Brand_Monthly!$B:$B,"The Derma Co.",Primary_Brand_Monthly!$C:$C,"ALL")/100000-1</f>
      </c>
      <c r="G37" s="2">
        <f>SUMIFS(Primary_Brand_Monthly!U:U,Primary_Brand_Monthly!$A:$A,"MT",Primary_Brand_Monthly!$B:$B,"The Derma Co.",Primary_Brand_Monthly!$C:$C,"ALL")/100000/SUMIFS(Primary_Brand_Monthly!I:I,Primary_Brand_Monthly!$A:$A,"MT",Primary_Brand_Monthly!$B:$B,"The Derma Co.",Primary_Brand_Monthly!$C:$C,"ALL")/100000-1</f>
      </c>
      <c r="H37" s="5">
        <f>SUMIFS(Primary_Brand_Monthly!G:G,Primary_Brand_Monthly!$A:$A,"MT",Primary_Brand_Monthly!$B:$B,"The Derma Co.",Primary_Brand_Monthly!$C:$C,"ALL")/100000+SUMIFS(Primary_Brand_Monthly!H:H,Primary_Brand_Monthly!$A:$A,"MT",Primary_Brand_Monthly!$B:$B,"The Derma Co.",Primary_Brand_Monthly!$C:$C,"ALL")/100000+SUMIFS(Primary_Brand_Monthly!I:I,Primary_Brand_Monthly!$A:$A,"MT",Primary_Brand_Monthly!$B:$B,"The Derma Co.",Primary_Brand_Monthly!$C:$C,"ALL")/100000</f>
      </c>
      <c r="I37" s="5">
        <f>SUMIFS(Primary_Brand_Monthly!S:S,Primary_Brand_Monthly!$A:$A,"MT",Primary_Brand_Monthly!$B:$B,"The Derma Co.",Primary_Brand_Monthly!$C:$C,"ALL")/100000+SUMIFS(Primary_Brand_Monthly!T:T,Primary_Brand_Monthly!$A:$A,"MT",Primary_Brand_Monthly!$B:$B,"The Derma Co.",Primary_Brand_Monthly!$C:$C,"ALL")/100000+SUMIFS(Primary_Brand_Monthly!U:U,Primary_Brand_Monthly!$A:$A,"MT",Primary_Brand_Monthly!$B:$B,"The Derma Co.",Primary_Brand_Monthly!$C:$C,"ALL")/100000</f>
      </c>
      <c r="J37" s="2">
        <f>(SUMIFS(Primary_Brand_Monthly!S:S,Primary_Brand_Monthly!$A:$A,"MT",Primary_Brand_Monthly!$B:$B,"The Derma Co.",Primary_Brand_Monthly!$C:$C,"ALL")/100000+SUMIFS(Primary_Brand_Monthly!T:T,Primary_Brand_Monthly!$A:$A,"MT",Primary_Brand_Monthly!$B:$B,"The Derma Co.",Primary_Brand_Monthly!$C:$C,"ALL")/100000+SUMIFS(Primary_Brand_Monthly!U:U,Primary_Brand_Monthly!$A:$A,"MT",Primary_Brand_Monthly!$B:$B,"The Derma Co.",Primary_Brand_Monthly!$C:$C,"ALL")/100000)/(SUMIFS(Primary_Brand_Monthly!G:G,Primary_Brand_Monthly!$A:$A,"MT",Primary_Brand_Monthly!$B:$B,"The Derma Co.",Primary_Brand_Monthly!$C:$C,"ALL")/100000+SUMIFS(Primary_Brand_Monthly!H:H,Primary_Brand_Monthly!$A:$A,"MT",Primary_Brand_Monthly!$B:$B,"The Derma Co.",Primary_Brand_Monthly!$C:$C,"ALL")/100000+SUMIFS(Primary_Brand_Monthly!I:I,Primary_Brand_Monthly!$A:$A,"MT",Primary_Brand_Monthly!$B:$B,"The Derma Co.",Primary_Brand_Monthly!$C:$C,"ALL")/100000)-1</f>
      </c>
    </row>
    <row r="38">
      <c r="A38" t="str">
        <v>Aqualogica (MT)</v>
      </c>
      <c r="B38" s="5">
        <f>SUMIFS(Primary_Brand_Monthly!I:I,Primary_Brand_Monthly!$A:$A,"MT",Primary_Brand_Monthly!$B:$B,"Aqualogica",Primary_Brand_Monthly!$C:$C,"ALL")/100000</f>
      </c>
      <c r="C38" s="5">
        <f>SUMIFS(Primary_Brand_Monthly!S:S,Primary_Brand_Monthly!$A:$A,"MT",Primary_Brand_Monthly!$B:$B,"Aqualogica",Primary_Brand_Monthly!$C:$C,"ALL")/100000</f>
      </c>
      <c r="D38" s="5">
        <f>SUMIFS(Primary_Brand_Monthly!T:T,Primary_Brand_Monthly!$A:$A,"MT",Primary_Brand_Monthly!$B:$B,"Aqualogica",Primary_Brand_Monthly!$C:$C,"ALL")/100000</f>
      </c>
      <c r="E38" s="5">
        <f>SUMIFS(Primary_Brand_Monthly!U:U,Primary_Brand_Monthly!$A:$A,"MT",Primary_Brand_Monthly!$B:$B,"Aqualogica",Primary_Brand_Monthly!$C:$C,"ALL")/100000</f>
      </c>
      <c r="F38" s="2">
        <f>SUMIFS(Primary_Brand_Monthly!U:U,Primary_Brand_Monthly!$A:$A,"MT",Primary_Brand_Monthly!$B:$B,"Aqualogica",Primary_Brand_Monthly!$C:$C,"ALL")/100000/SUMIFS(Primary_Brand_Monthly!T:T,Primary_Brand_Monthly!$A:$A,"MT",Primary_Brand_Monthly!$B:$B,"Aqualogica",Primary_Brand_Monthly!$C:$C,"ALL")/100000-1</f>
      </c>
      <c r="G38" s="2">
        <f>SUMIFS(Primary_Brand_Monthly!U:U,Primary_Brand_Monthly!$A:$A,"MT",Primary_Brand_Monthly!$B:$B,"Aqualogica",Primary_Brand_Monthly!$C:$C,"ALL")/100000/SUMIFS(Primary_Brand_Monthly!I:I,Primary_Brand_Monthly!$A:$A,"MT",Primary_Brand_Monthly!$B:$B,"Aqualogica",Primary_Brand_Monthly!$C:$C,"ALL")/100000-1</f>
      </c>
      <c r="H38" s="5">
        <f>SUMIFS(Primary_Brand_Monthly!G:G,Primary_Brand_Monthly!$A:$A,"MT",Primary_Brand_Monthly!$B:$B,"Aqualogica",Primary_Brand_Monthly!$C:$C,"ALL")/100000+SUMIFS(Primary_Brand_Monthly!H:H,Primary_Brand_Monthly!$A:$A,"MT",Primary_Brand_Monthly!$B:$B,"Aqualogica",Primary_Brand_Monthly!$C:$C,"ALL")/100000+SUMIFS(Primary_Brand_Monthly!I:I,Primary_Brand_Monthly!$A:$A,"MT",Primary_Brand_Monthly!$B:$B,"Aqualogica",Primary_Brand_Monthly!$C:$C,"ALL")/100000</f>
      </c>
      <c r="I38" s="5">
        <f>SUMIFS(Primary_Brand_Monthly!S:S,Primary_Brand_Monthly!$A:$A,"MT",Primary_Brand_Monthly!$B:$B,"Aqualogica",Primary_Brand_Monthly!$C:$C,"ALL")/100000+SUMIFS(Primary_Brand_Monthly!T:T,Primary_Brand_Monthly!$A:$A,"MT",Primary_Brand_Monthly!$B:$B,"Aqualogica",Primary_Brand_Monthly!$C:$C,"ALL")/100000+SUMIFS(Primary_Brand_Monthly!U:U,Primary_Brand_Monthly!$A:$A,"MT",Primary_Brand_Monthly!$B:$B,"Aqualogica",Primary_Brand_Monthly!$C:$C,"ALL")/100000</f>
      </c>
      <c r="J38" s="2">
        <f>(SUMIFS(Primary_Brand_Monthly!S:S,Primary_Brand_Monthly!$A:$A,"MT",Primary_Brand_Monthly!$B:$B,"Aqualogica",Primary_Brand_Monthly!$C:$C,"ALL")/100000+SUMIFS(Primary_Brand_Monthly!T:T,Primary_Brand_Monthly!$A:$A,"MT",Primary_Brand_Monthly!$B:$B,"Aqualogica",Primary_Brand_Monthly!$C:$C,"ALL")/100000+SUMIFS(Primary_Brand_Monthly!U:U,Primary_Brand_Monthly!$A:$A,"MT",Primary_Brand_Monthly!$B:$B,"Aqualogica",Primary_Brand_Monthly!$C:$C,"ALL")/100000)/(SUMIFS(Primary_Brand_Monthly!G:G,Primary_Brand_Monthly!$A:$A,"MT",Primary_Brand_Monthly!$B:$B,"Aqualogica",Primary_Brand_Monthly!$C:$C,"ALL")/100000+SUMIFS(Primary_Brand_Monthly!H:H,Primary_Brand_Monthly!$A:$A,"MT",Primary_Brand_Monthly!$B:$B,"Aqualogica",Primary_Brand_Monthly!$C:$C,"ALL")/100000+SUMIFS(Primary_Brand_Monthly!I:I,Primary_Brand_Monthly!$A:$A,"MT",Primary_Brand_Monthly!$B:$B,"Aqualogica",Primary_Brand_Monthly!$C:$C,"ALL")/100000)-1</f>
      </c>
    </row>
    <row r="39">
      <c r="A39" t="str">
        <v>Mamaearth (EB2B)</v>
      </c>
      <c r="B39" s="5">
        <f>SUMIFS(Primary_Brand_Monthly!I:I,Primary_Brand_Monthly!$A:$A,"Eb2b",Primary_Brand_Monthly!$B:$B,"Mamaearth",Primary_Brand_Monthly!$C:$C,"ALL")/100000</f>
      </c>
      <c r="C39" s="5">
        <f>SUMIFS(Primary_Brand_Monthly!S:S,Primary_Brand_Monthly!$A:$A,"Eb2b",Primary_Brand_Monthly!$B:$B,"Mamaearth",Primary_Brand_Monthly!$C:$C,"ALL")/100000</f>
      </c>
      <c r="D39" s="5">
        <f>SUMIFS(Primary_Brand_Monthly!T:T,Primary_Brand_Monthly!$A:$A,"Eb2b",Primary_Brand_Monthly!$B:$B,"Mamaearth",Primary_Brand_Monthly!$C:$C,"ALL")/100000</f>
      </c>
      <c r="E39" s="5">
        <f>SUMIFS(Primary_Brand_Monthly!U:U,Primary_Brand_Monthly!$A:$A,"Eb2b",Primary_Brand_Monthly!$B:$B,"Mamaearth",Primary_Brand_Monthly!$C:$C,"ALL")/100000</f>
      </c>
      <c r="F39" s="2">
        <f>SUMIFS(Primary_Brand_Monthly!U:U,Primary_Brand_Monthly!$A:$A,"Eb2b",Primary_Brand_Monthly!$B:$B,"Mamaearth",Primary_Brand_Monthly!$C:$C,"ALL")/100000/SUMIFS(Primary_Brand_Monthly!T:T,Primary_Brand_Monthly!$A:$A,"Eb2b",Primary_Brand_Monthly!$B:$B,"Mamaearth",Primary_Brand_Monthly!$C:$C,"ALL")/100000-1</f>
      </c>
      <c r="G39" s="2">
        <f>SUMIFS(Primary_Brand_Monthly!U:U,Primary_Brand_Monthly!$A:$A,"Eb2b",Primary_Brand_Monthly!$B:$B,"Mamaearth",Primary_Brand_Monthly!$C:$C,"ALL")/100000/SUMIFS(Primary_Brand_Monthly!I:I,Primary_Brand_Monthly!$A:$A,"Eb2b",Primary_Brand_Monthly!$B:$B,"Mamaearth",Primary_Brand_Monthly!$C:$C,"ALL")/100000-1</f>
      </c>
      <c r="H39" s="5">
        <f>SUMIFS(Primary_Brand_Monthly!G:G,Primary_Brand_Monthly!$A:$A,"Eb2b",Primary_Brand_Monthly!$B:$B,"Mamaearth",Primary_Brand_Monthly!$C:$C,"ALL")/100000+SUMIFS(Primary_Brand_Monthly!H:H,Primary_Brand_Monthly!$A:$A,"Eb2b",Primary_Brand_Monthly!$B:$B,"Mamaearth",Primary_Brand_Monthly!$C:$C,"ALL")/100000+SUMIFS(Primary_Brand_Monthly!I:I,Primary_Brand_Monthly!$A:$A,"Eb2b",Primary_Brand_Monthly!$B:$B,"Mamaearth",Primary_Brand_Monthly!$C:$C,"ALL")/100000</f>
      </c>
      <c r="I39" s="5">
        <f>SUMIFS(Primary_Brand_Monthly!S:S,Primary_Brand_Monthly!$A:$A,"Eb2b",Primary_Brand_Monthly!$B:$B,"Mamaearth",Primary_Brand_Monthly!$C:$C,"ALL")/100000+SUMIFS(Primary_Brand_Monthly!T:T,Primary_Brand_Monthly!$A:$A,"Eb2b",Primary_Brand_Monthly!$B:$B,"Mamaearth",Primary_Brand_Monthly!$C:$C,"ALL")/100000+SUMIFS(Primary_Brand_Monthly!U:U,Primary_Brand_Monthly!$A:$A,"Eb2b",Primary_Brand_Monthly!$B:$B,"Mamaearth",Primary_Brand_Monthly!$C:$C,"ALL")/100000</f>
      </c>
      <c r="J39" s="2">
        <f>(SUMIFS(Primary_Brand_Monthly!S:S,Primary_Brand_Monthly!$A:$A,"Eb2b",Primary_Brand_Monthly!$B:$B,"Mamaearth",Primary_Brand_Monthly!$C:$C,"ALL")/100000+SUMIFS(Primary_Brand_Monthly!T:T,Primary_Brand_Monthly!$A:$A,"Eb2b",Primary_Brand_Monthly!$B:$B,"Mamaearth",Primary_Brand_Monthly!$C:$C,"ALL")/100000+SUMIFS(Primary_Brand_Monthly!U:U,Primary_Brand_Monthly!$A:$A,"Eb2b",Primary_Brand_Monthly!$B:$B,"Mamaearth",Primary_Brand_Monthly!$C:$C,"ALL")/100000)/(SUMIFS(Primary_Brand_Monthly!G:G,Primary_Brand_Monthly!$A:$A,"Eb2b",Primary_Brand_Monthly!$B:$B,"Mamaearth",Primary_Brand_Monthly!$C:$C,"ALL")/100000+SUMIFS(Primary_Brand_Monthly!H:H,Primary_Brand_Monthly!$A:$A,"Eb2b",Primary_Brand_Monthly!$B:$B,"Mamaearth",Primary_Brand_Monthly!$C:$C,"ALL")/100000+SUMIFS(Primary_Brand_Monthly!I:I,Primary_Brand_Monthly!$A:$A,"Eb2b",Primary_Brand_Monthly!$B:$B,"Mamaearth",Primary_Brand_Monthly!$C:$C,"ALL")/100000)-1</f>
      </c>
    </row>
    <row r="40">
      <c r="A40" t="str">
        <v>The Derma Co. (EB2B)</v>
      </c>
      <c r="B40" s="5">
        <f>SUMIFS(Primary_Brand_Monthly!I:I,Primary_Brand_Monthly!$A:$A,"Eb2b",Primary_Brand_Monthly!$B:$B,"The Derma Co.",Primary_Brand_Monthly!$C:$C,"ALL")/100000</f>
      </c>
      <c r="C40" s="5">
        <f>SUMIFS(Primary_Brand_Monthly!S:S,Primary_Brand_Monthly!$A:$A,"Eb2b",Primary_Brand_Monthly!$B:$B,"The Derma Co.",Primary_Brand_Monthly!$C:$C,"ALL")/100000</f>
      </c>
      <c r="D40" s="5">
        <f>SUMIFS(Primary_Brand_Monthly!T:T,Primary_Brand_Monthly!$A:$A,"Eb2b",Primary_Brand_Monthly!$B:$B,"The Derma Co.",Primary_Brand_Monthly!$C:$C,"ALL")/100000</f>
      </c>
      <c r="E40" s="5">
        <f>SUMIFS(Primary_Brand_Monthly!U:U,Primary_Brand_Monthly!$A:$A,"Eb2b",Primary_Brand_Monthly!$B:$B,"The Derma Co.",Primary_Brand_Monthly!$C:$C,"ALL")/100000</f>
      </c>
      <c r="F40" s="2">
        <f>SUMIFS(Primary_Brand_Monthly!U:U,Primary_Brand_Monthly!$A:$A,"Eb2b",Primary_Brand_Monthly!$B:$B,"The Derma Co.",Primary_Brand_Monthly!$C:$C,"ALL")/100000/SUMIFS(Primary_Brand_Monthly!T:T,Primary_Brand_Monthly!$A:$A,"Eb2b",Primary_Brand_Monthly!$B:$B,"The Derma Co.",Primary_Brand_Monthly!$C:$C,"ALL")/100000-1</f>
      </c>
      <c r="G40" s="2">
        <f>SUMIFS(Primary_Brand_Monthly!U:U,Primary_Brand_Monthly!$A:$A,"Eb2b",Primary_Brand_Monthly!$B:$B,"The Derma Co.",Primary_Brand_Monthly!$C:$C,"ALL")/100000/SUMIFS(Primary_Brand_Monthly!I:I,Primary_Brand_Monthly!$A:$A,"Eb2b",Primary_Brand_Monthly!$B:$B,"The Derma Co.",Primary_Brand_Monthly!$C:$C,"ALL")/100000-1</f>
      </c>
      <c r="H40" s="5">
        <f>SUMIFS(Primary_Brand_Monthly!G:G,Primary_Brand_Monthly!$A:$A,"Eb2b",Primary_Brand_Monthly!$B:$B,"The Derma Co.",Primary_Brand_Monthly!$C:$C,"ALL")/100000+SUMIFS(Primary_Brand_Monthly!H:H,Primary_Brand_Monthly!$A:$A,"Eb2b",Primary_Brand_Monthly!$B:$B,"The Derma Co.",Primary_Brand_Monthly!$C:$C,"ALL")/100000+SUMIFS(Primary_Brand_Monthly!I:I,Primary_Brand_Monthly!$A:$A,"Eb2b",Primary_Brand_Monthly!$B:$B,"The Derma Co.",Primary_Brand_Monthly!$C:$C,"ALL")/100000</f>
      </c>
      <c r="I40" s="5">
        <f>SUMIFS(Primary_Brand_Monthly!S:S,Primary_Brand_Monthly!$A:$A,"Eb2b",Primary_Brand_Monthly!$B:$B,"The Derma Co.",Primary_Brand_Monthly!$C:$C,"ALL")/100000+SUMIFS(Primary_Brand_Monthly!T:T,Primary_Brand_Monthly!$A:$A,"Eb2b",Primary_Brand_Monthly!$B:$B,"The Derma Co.",Primary_Brand_Monthly!$C:$C,"ALL")/100000+SUMIFS(Primary_Brand_Monthly!U:U,Primary_Brand_Monthly!$A:$A,"Eb2b",Primary_Brand_Monthly!$B:$B,"The Derma Co.",Primary_Brand_Monthly!$C:$C,"ALL")/100000</f>
      </c>
      <c r="J40" s="2">
        <f>(SUMIFS(Primary_Brand_Monthly!S:S,Primary_Brand_Monthly!$A:$A,"Eb2b",Primary_Brand_Monthly!$B:$B,"The Derma Co.",Primary_Brand_Monthly!$C:$C,"ALL")/100000+SUMIFS(Primary_Brand_Monthly!T:T,Primary_Brand_Monthly!$A:$A,"Eb2b",Primary_Brand_Monthly!$B:$B,"The Derma Co.",Primary_Brand_Monthly!$C:$C,"ALL")/100000+SUMIFS(Primary_Brand_Monthly!U:U,Primary_Brand_Monthly!$A:$A,"Eb2b",Primary_Brand_Monthly!$B:$B,"The Derma Co.",Primary_Brand_Monthly!$C:$C,"ALL")/100000)/(SUMIFS(Primary_Brand_Monthly!G:G,Primary_Brand_Monthly!$A:$A,"Eb2b",Primary_Brand_Monthly!$B:$B,"The Derma Co.",Primary_Brand_Monthly!$C:$C,"ALL")/100000+SUMIFS(Primary_Brand_Monthly!H:H,Primary_Brand_Monthly!$A:$A,"Eb2b",Primary_Brand_Monthly!$B:$B,"The Derma Co.",Primary_Brand_Monthly!$C:$C,"ALL")/100000+SUMIFS(Primary_Brand_Monthly!I:I,Primary_Brand_Monthly!$A:$A,"Eb2b",Primary_Brand_Monthly!$B:$B,"The Derma Co.",Primary_Brand_Monthly!$C:$C,"ALL")/100000)-1</f>
      </c>
    </row>
    <row r="41">
      <c r="A41" t="str">
        <v>ALL-IN GRAND TOTAL</v>
      </c>
      <c r="B41" s="5">
        <f>SUMIFS(Primary_Brand_Monthly!I:I,Primary_Brand_Monthly!$A:$A,"ALL",Primary_Brand_Monthly!$B:$B,"GRAND TOTAL",Primary_Brand_Monthly!$C:$C,"ALL")/100000</f>
      </c>
      <c r="C41" s="5">
        <f>SUMIFS(Primary_Brand_Monthly!S:S,Primary_Brand_Monthly!$A:$A,"ALL",Primary_Brand_Monthly!$B:$B,"GRAND TOTAL",Primary_Brand_Monthly!$C:$C,"ALL")/100000</f>
      </c>
      <c r="D41" s="5">
        <f>SUMIFS(Primary_Brand_Monthly!T:T,Primary_Brand_Monthly!$A:$A,"ALL",Primary_Brand_Monthly!$B:$B,"GRAND TOTAL",Primary_Brand_Monthly!$C:$C,"ALL")/100000</f>
      </c>
      <c r="E41" s="5">
        <f>SUMIFS(Primary_Brand_Monthly!U:U,Primary_Brand_Monthly!$A:$A,"ALL",Primary_Brand_Monthly!$B:$B,"GRAND TOTAL",Primary_Brand_Monthly!$C:$C,"ALL")/100000</f>
      </c>
      <c r="F41" s="2">
        <f>SUMIFS(Primary_Brand_Monthly!U:U,Primary_Brand_Monthly!$A:$A,"ALL",Primary_Brand_Monthly!$B:$B,"GRAND TOTAL",Primary_Brand_Monthly!$C:$C,"ALL")/100000/SUMIFS(Primary_Brand_Monthly!T:T,Primary_Brand_Monthly!$A:$A,"ALL",Primary_Brand_Monthly!$B:$B,"GRAND TOTAL",Primary_Brand_Monthly!$C:$C,"ALL")/100000-1</f>
      </c>
      <c r="G41" s="2">
        <f>SUMIFS(Primary_Brand_Monthly!U:U,Primary_Brand_Monthly!$A:$A,"ALL",Primary_Brand_Monthly!$B:$B,"GRAND TOTAL",Primary_Brand_Monthly!$C:$C,"ALL")/100000/SUMIFS(Primary_Brand_Monthly!I:I,Primary_Brand_Monthly!$A:$A,"ALL",Primary_Brand_Monthly!$B:$B,"GRAND TOTAL",Primary_Brand_Monthly!$C:$C,"ALL")/100000-1</f>
      </c>
      <c r="H41" s="5">
        <f>SUMIFS(Primary_Brand_Monthly!G:G,Primary_Brand_Monthly!$A:$A,"ALL",Primary_Brand_Monthly!$B:$B,"GRAND TOTAL",Primary_Brand_Monthly!$C:$C,"ALL")/100000+SUMIFS(Primary_Brand_Monthly!H:H,Primary_Brand_Monthly!$A:$A,"ALL",Primary_Brand_Monthly!$B:$B,"GRAND TOTAL",Primary_Brand_Monthly!$C:$C,"ALL")/100000+SUMIFS(Primary_Brand_Monthly!I:I,Primary_Brand_Monthly!$A:$A,"ALL",Primary_Brand_Monthly!$B:$B,"GRAND TOTAL",Primary_Brand_Monthly!$C:$C,"ALL")/100000</f>
      </c>
      <c r="I41" s="5">
        <f>SUMIFS(Primary_Brand_Monthly!S:S,Primary_Brand_Monthly!$A:$A,"ALL",Primary_Brand_Monthly!$B:$B,"GRAND TOTAL",Primary_Brand_Monthly!$C:$C,"ALL")/100000+SUMIFS(Primary_Brand_Monthly!T:T,Primary_Brand_Monthly!$A:$A,"ALL",Primary_Brand_Monthly!$B:$B,"GRAND TOTAL",Primary_Brand_Monthly!$C:$C,"ALL")/100000+SUMIFS(Primary_Brand_Monthly!U:U,Primary_Brand_Monthly!$A:$A,"ALL",Primary_Brand_Monthly!$B:$B,"GRAND TOTAL",Primary_Brand_Monthly!$C:$C,"ALL")/100000</f>
      </c>
      <c r="J41" s="2">
        <f>(SUMIFS(Primary_Brand_Monthly!S:S,Primary_Brand_Monthly!$A:$A,"ALL",Primary_Brand_Monthly!$B:$B,"GRAND TOTAL",Primary_Brand_Monthly!$C:$C,"ALL")/100000+SUMIFS(Primary_Brand_Monthly!T:T,Primary_Brand_Monthly!$A:$A,"ALL",Primary_Brand_Monthly!$B:$B,"GRAND TOTAL",Primary_Brand_Monthly!$C:$C,"ALL")/100000+SUMIFS(Primary_Brand_Monthly!U:U,Primary_Brand_Monthly!$A:$A,"ALL",Primary_Brand_Monthly!$B:$B,"GRAND TOTAL",Primary_Brand_Monthly!$C:$C,"ALL")/100000)/(SUMIFS(Primary_Brand_Monthly!G:G,Primary_Brand_Monthly!$A:$A,"ALL",Primary_Brand_Monthly!$B:$B,"GRAND TOTAL",Primary_Brand_Monthly!$C:$C,"ALL")/100000+SUMIFS(Primary_Brand_Monthly!H:H,Primary_Brand_Monthly!$A:$A,"ALL",Primary_Brand_Monthly!$B:$B,"GRAND TOTAL",Primary_Brand_Monthly!$C:$C,"ALL")/100000+SUMIFS(Primary_Brand_Monthly!I:I,Primary_Brand_Monthly!$A:$A,"ALL",Primary_Brand_Monthly!$B:$B,"GRAND TOTAL",Primary_Brand_Monthly!$C:$C,"ALL")/100000)-1</f>
      </c>
    </row>
  </sheetData>
  <ignoredErrors>
    <ignoredError numberStoredAsText="1" sqref="A1:R4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EXTERNAL-DATA SLIDES — WORKINGS AS OF MAY'26 (Jun'26 refresh awaited)</v>
      </c>
    </row>
    <row r="2">
      <c r="A2" t="str">
        <v>Slides 4–9 use chain Gross-Sales share &amp; Nielsen MS data. Latest external files available = May'26. Drop Jun'26 inputs into the yellow cells below; share % formulas recalc automatically.</v>
      </c>
    </row>
    <row r="4">
      <c r="A4" t="str">
        <v>SLIDE 4 — CHAIN-WISE MARKET SHARE (GROSS SALES BASIS), MAY'26</v>
      </c>
    </row>
    <row r="5">
      <c r="A5" t="str">
        <v>Chain</v>
      </c>
      <c r="B5" t="str">
        <v>Honasa GS (Lacs)</v>
      </c>
      <c r="C5" t="str">
        <v>Total Mkt GS (Lacs)</v>
      </c>
      <c r="D5" t="str">
        <v>Mkt Share % (formula)</v>
      </c>
      <c r="E5" t="str">
        <v>MoM (bps, vs Apr'26)</v>
      </c>
    </row>
    <row r="6">
      <c r="A6" t="str">
        <v>MRL</v>
      </c>
      <c r="B6">
        <v>59.7</v>
      </c>
      <c r="C6">
        <v>2128.7</v>
      </c>
      <c r="D6" s="4">
        <f>B6/C6</f>
      </c>
      <c r="E6" t="str">
        <v>+31</v>
      </c>
    </row>
    <row r="7">
      <c r="A7" t="str">
        <v>Lulu</v>
      </c>
      <c r="B7">
        <v>111.5</v>
      </c>
      <c r="C7">
        <v>2848</v>
      </c>
      <c r="D7" s="4">
        <f>B7/C7</f>
      </c>
      <c r="E7" t="str">
        <v>-21</v>
      </c>
    </row>
    <row r="8">
      <c r="A8" t="str">
        <v>Wellness Forever</v>
      </c>
      <c r="B8">
        <v>137.4</v>
      </c>
      <c r="C8">
        <v>977.6</v>
      </c>
      <c r="D8" s="4">
        <f>B8/C8</f>
      </c>
      <c r="E8" t="str">
        <v>-35</v>
      </c>
    </row>
    <row r="9">
      <c r="A9" t="str">
        <v>Reliance Retail</v>
      </c>
      <c r="B9">
        <v>2052</v>
      </c>
      <c r="C9">
        <v>19298.6</v>
      </c>
      <c r="D9" s="4">
        <f>B9/C9</f>
      </c>
      <c r="E9" t="str">
        <v>-38</v>
      </c>
    </row>
    <row r="11">
      <c r="A11" t="str">
        <v>SLIDE 5–9 — NIELSEN MS READOUT (MAY'26, Urban):</v>
      </c>
    </row>
    <row r="12">
      <c r="A12" t="str">
        <v>Brand (Category)</v>
      </c>
      <c r="B12" t="str">
        <v>MS Val % May'26</v>
      </c>
      <c r="C12" t="str">
        <v>MoM bps</v>
      </c>
      <c r="D12" t="str">
        <v>YoY bps</v>
      </c>
      <c r="E12" t="str">
        <v>MAT MS %</v>
      </c>
      <c r="F12" t="str">
        <v>Value ₹Cr May'26</v>
      </c>
      <c r="G12" t="str">
        <v>Value YoY %</v>
      </c>
      <c r="H12" t="str">
        <v>Wtd Dist %</v>
      </c>
    </row>
    <row r="13">
      <c r="A13" t="str">
        <v>Mamaearth FW</v>
      </c>
      <c r="B13" s="6">
        <v>0.12</v>
      </c>
      <c r="C13" t="str">
        <v>Flat</v>
      </c>
      <c r="D13" t="str">
        <v>+311</v>
      </c>
      <c r="E13" s="6">
        <v>0.1</v>
      </c>
      <c r="F13" s="7">
        <v>9.6</v>
      </c>
      <c r="G13" s="6">
        <v>0.54</v>
      </c>
      <c r="H13" s="6">
        <v>0.87</v>
      </c>
    </row>
    <row r="14">
      <c r="A14" t="str">
        <v>The Derma Co FW</v>
      </c>
      <c r="B14" s="6">
        <v>0.01</v>
      </c>
      <c r="C14" t="str">
        <v>+6</v>
      </c>
      <c r="D14" t="str">
        <v>+71</v>
      </c>
      <c r="E14" s="6">
        <v>0</v>
      </c>
      <c r="F14" s="7">
        <v>0.6</v>
      </c>
      <c r="G14" s="6">
        <v>39.4</v>
      </c>
      <c r="H14" s="6">
        <v>0.14</v>
      </c>
    </row>
    <row r="15">
      <c r="A15" t="str">
        <v>Mamaearth Shampoo</v>
      </c>
      <c r="B15" s="6">
        <v>0.04</v>
      </c>
      <c r="C15" t="str">
        <v>-31</v>
      </c>
      <c r="D15" t="str">
        <v>+134</v>
      </c>
      <c r="E15" s="6">
        <v>0.04</v>
      </c>
      <c r="F15" s="7">
        <v>6.5</v>
      </c>
      <c r="G15" s="6">
        <v>0.64</v>
      </c>
      <c r="H15" s="6">
        <v>0.81</v>
      </c>
    </row>
    <row r="17">
      <c r="A17" t="str">
        <v>Status: Jun'26 Nielsen MAT &amp; chain GS extracts not yet released to this working file. Slides 4–9 in the Jun'26 deck carry a 'Data basis: May'26' tag until refreshed.</v>
      </c>
    </row>
  </sheetData>
  <ignoredErrors>
    <ignoredError numberStoredAsText="1" sqref="A1:J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9.83203125" customWidth="1"/>
    <col min="2" max="2" width="52.83203125" customWidth="1"/>
    <col min="3" max="3" width="46.83203125" customWidth="1"/>
    <col min="4" max="4" width="46.83203125" customWidth="1"/>
  </cols>
  <sheetData>
    <row r="1">
      <c r="A1" t="str">
        <v>Slide</v>
      </c>
      <c r="B1" t="str">
        <v>Content</v>
      </c>
      <c r="C1" t="str">
        <v>Jun'26 status</v>
      </c>
      <c r="D1" t="str">
        <v>Data source / working</v>
      </c>
    </row>
    <row r="2">
      <c r="A2">
        <v>1</v>
      </c>
      <c r="B2" t="str">
        <v>Summary &amp; key insights, KPI cards, chain trend/mix</v>
      </c>
      <c r="C2" t="str">
        <v>UPDATED to Jun'26</v>
      </c>
      <c r="D2" t="str">
        <v>KPI_Dashboard + Chain_Summary</v>
      </c>
    </row>
    <row r="3">
      <c r="A3" t="str">
        <v>1A (new)</v>
      </c>
      <c r="B3" t="str">
        <v>Q1 FY27 scorecard (Apr–Jun'26 vs LY)</v>
      </c>
      <c r="C3" t="str">
        <v>NEW SLIDE ADDED</v>
      </c>
      <c r="D3" t="str">
        <v>Q1_FY27_Scorecard</v>
      </c>
    </row>
    <row r="4">
      <c r="A4">
        <v>2</v>
      </c>
      <c r="B4" t="str">
        <v>Portfolio drivers — brand/sub-cat trends, vol-val decomposition</v>
      </c>
      <c r="C4" t="str">
        <v>NSV side UPDATED; Qty/ASP &amp; hero-SKU panels = May'26 basis (SKU/Qty extract not shared for Jun)</v>
      </c>
      <c r="D4" t="str">
        <v>Brand_SubCat_Summary; May26_External_Workings</v>
      </c>
    </row>
    <row r="5">
      <c r="A5">
        <v>3</v>
      </c>
      <c r="B5" t="str">
        <v>Zone performance summary</v>
      </c>
      <c r="C5" t="str">
        <v>UPDATED to Jun'26</v>
      </c>
      <c r="D5" t="str">
        <v>Zone_Summary</v>
      </c>
    </row>
    <row r="6">
      <c r="A6">
        <v>4</v>
      </c>
      <c r="B6" t="str">
        <v>Chain-wise market share (Gross Sales basis)</v>
      </c>
      <c r="C6" t="str">
        <v>RETAINED May'26 + data-basis tag</v>
      </c>
      <c r="D6" t="str">
        <v>May26_External_Workings</v>
      </c>
    </row>
    <row r="7">
      <c r="A7">
        <v>5</v>
      </c>
      <c r="B7" t="str">
        <v>Nielsen MS insights (brand)</v>
      </c>
      <c r="C7" t="str">
        <v>RETAINED May'26 + data-basis tag</v>
      </c>
      <c r="D7" t="str">
        <v>May26_External_Workings</v>
      </c>
    </row>
    <row r="8">
      <c r="A8">
        <v>6</v>
      </c>
      <c r="B8" t="str">
        <v>Nielsen readout — Shampoo ranking</v>
      </c>
      <c r="C8" t="str">
        <v>RETAINED May'26 + data-basis tag</v>
      </c>
      <c r="D8" t="str">
        <v>May26_External_Workings</v>
      </c>
    </row>
    <row r="9">
      <c r="A9">
        <v>7</v>
      </c>
      <c r="B9" t="str">
        <v>Shampoo pack-level insights</v>
      </c>
      <c r="C9" t="str">
        <v>RETAINED May'26 + data-basis tag</v>
      </c>
      <c r="D9" t="str">
        <v>May26_External_Workings</v>
      </c>
    </row>
    <row r="10">
      <c r="A10">
        <v>8</v>
      </c>
      <c r="B10" t="str">
        <v>Nielsen readout — Facewash &amp; Shampoo</v>
      </c>
      <c r="C10" t="str">
        <v>RETAINED May'26 + data-basis tag</v>
      </c>
      <c r="D10" t="str">
        <v>May26_External_Workings</v>
      </c>
    </row>
    <row r="11">
      <c r="A11">
        <v>9</v>
      </c>
      <c r="B11" t="str">
        <v>Nielsen state contribution</v>
      </c>
      <c r="C11" t="str">
        <v>RETAINED May'26 + data-basis tag</v>
      </c>
      <c r="D11" t="str">
        <v>May26_External_Workings</v>
      </c>
    </row>
    <row r="12">
      <c r="A12">
        <v>10</v>
      </c>
      <c r="B12" t="str">
        <v>East zone page</v>
      </c>
      <c r="C12" t="str">
        <v>UPDATED to Jun'26</v>
      </c>
      <c r="D12" t="str">
        <v>Zone_Summary + Offtake_Brand_SubCat_Zone (EAST)</v>
      </c>
    </row>
    <row r="13">
      <c r="A13">
        <v>11</v>
      </c>
      <c r="B13" t="str">
        <v>North zone page</v>
      </c>
      <c r="C13" t="str">
        <v>UPDATED to Jun'26</v>
      </c>
      <c r="D13" t="str">
        <v>Zone_Summary + Offtake_Brand_SubCat_Zone (NORTH)</v>
      </c>
    </row>
    <row r="14">
      <c r="A14">
        <v>12</v>
      </c>
      <c r="B14" t="str">
        <v>South-1 zone page</v>
      </c>
      <c r="C14" t="str">
        <v>UPDATED to Jun'26</v>
      </c>
      <c r="D14" t="str">
        <v>Zone_Summary + Offtake_Brand_SubCat_Zone (SOUTH-1)</v>
      </c>
    </row>
    <row r="15">
      <c r="A15">
        <v>13</v>
      </c>
      <c r="B15" t="str">
        <v>South-2 zone page</v>
      </c>
      <c r="C15" t="str">
        <v>UPDATED to Jun'26</v>
      </c>
      <c r="D15" t="str">
        <v>Zone_Summary + Offtake_Brand_SubCat_Zone (SOUTH-2)</v>
      </c>
    </row>
    <row r="16">
      <c r="A16">
        <v>14</v>
      </c>
      <c r="B16" t="str">
        <v>West zone page</v>
      </c>
      <c r="C16" t="str">
        <v>UPDATED to Jun'26</v>
      </c>
      <c r="D16" t="str">
        <v>Zone_Summary + Offtake_Brand_SubCat_Zone (WEST)</v>
      </c>
    </row>
    <row r="17">
      <c r="A17">
        <v>15</v>
      </c>
      <c r="B17" t="str">
        <v>Pan-India (FSN/EB2B) page</v>
      </c>
      <c r="C17" t="str">
        <v>UPDATED to Jun'26</v>
      </c>
      <c r="D17" t="str">
        <v>Zone_Summary + Offtake_Brand_SubCat_Zone (Pan India)</v>
      </c>
    </row>
    <row r="18">
      <c r="A18" t="str">
        <v>16–23</v>
      </c>
      <c r="B18" t="str">
        <v>Execution galleries (field photos)</v>
      </c>
      <c r="C18" t="str">
        <v>RETAINED (visual evidence, May/Jun JC cycle)</v>
      </c>
      <c r="D18" t="str">
        <v>—</v>
      </c>
    </row>
  </sheetData>
  <ignoredErrors>
    <ignoredError numberStoredAsText="1" sqref="A1:D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T8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11.83203125" customWidth="1"/>
    <col min="20" max="20" width="13.83203125" customWidth="1"/>
  </cols>
  <sheetData>
    <row r="1">
      <c r="A1" t="str">
        <v>Channel</v>
      </c>
      <c r="B1" t="str">
        <v>Chain</v>
      </c>
      <c r="C1" t="str">
        <v>Zone</v>
      </c>
      <c r="D1" t="str">
        <v>Apr-25</v>
      </c>
      <c r="E1" t="str">
        <v>May-25</v>
      </c>
      <c r="F1" t="str">
        <v>Jun-25</v>
      </c>
      <c r="G1" t="str">
        <v>Jul-25</v>
      </c>
      <c r="H1" t="str">
        <v>Aug-25</v>
      </c>
      <c r="I1" t="str">
        <v>Sep-25</v>
      </c>
      <c r="J1" t="str">
        <v>Oct-25</v>
      </c>
      <c r="K1" t="str">
        <v>Nov-25</v>
      </c>
      <c r="L1" t="str">
        <v>Dec-25</v>
      </c>
      <c r="M1" t="str">
        <v>Jan-26</v>
      </c>
      <c r="N1" t="str">
        <v>Feb-26</v>
      </c>
      <c r="O1" t="str">
        <v>Mar-26</v>
      </c>
      <c r="P1" t="str">
        <v>Apr-26</v>
      </c>
      <c r="Q1" t="str">
        <v>May-26</v>
      </c>
      <c r="R1" t="str">
        <v>Jun-26</v>
      </c>
      <c r="S1" t="str">
        <v>FY26 Total</v>
      </c>
      <c r="T1" t="str">
        <v>Q1 FY27 (Apr-Jun26)</v>
      </c>
    </row>
    <row r="2">
      <c r="A2" t="str">
        <v>EB2B</v>
      </c>
      <c r="B2" t="str">
        <v>Fsn</v>
      </c>
      <c r="C2" t="str">
        <v>Pan India</v>
      </c>
      <c r="D2">
        <v>184</v>
      </c>
      <c r="E2">
        <v>175</v>
      </c>
      <c r="F2">
        <v>164</v>
      </c>
      <c r="G2">
        <v>191</v>
      </c>
      <c r="H2">
        <v>160</v>
      </c>
      <c r="I2">
        <v>151</v>
      </c>
      <c r="J2">
        <v>156</v>
      </c>
      <c r="K2">
        <v>186</v>
      </c>
      <c r="L2">
        <v>168</v>
      </c>
      <c r="M2">
        <v>164</v>
      </c>
      <c r="N2">
        <v>168</v>
      </c>
      <c r="O2">
        <v>173</v>
      </c>
      <c r="P2">
        <v>229</v>
      </c>
      <c r="Q2">
        <v>208</v>
      </c>
      <c r="R2">
        <v>217</v>
      </c>
      <c r="S2" s="5">
        <f>SUM(D2:O2)</f>
      </c>
      <c r="T2" s="5">
        <f>SUM(P2:R2)</f>
      </c>
    </row>
    <row r="3">
      <c r="A3" t="str">
        <v>MT</v>
      </c>
      <c r="B3" t="str">
        <v>Dmart</v>
      </c>
      <c r="C3" t="str">
        <v>EAST</v>
      </c>
      <c r="O3">
        <v>0</v>
      </c>
      <c r="P3">
        <v>2</v>
      </c>
      <c r="Q3">
        <v>2</v>
      </c>
      <c r="R3">
        <v>1</v>
      </c>
      <c r="S3" s="5">
        <f>SUM(D3:O3)</f>
      </c>
      <c r="T3" s="5">
        <f>SUM(P3:R3)</f>
      </c>
    </row>
    <row r="4">
      <c r="A4" t="str">
        <v>MT</v>
      </c>
      <c r="B4" t="str">
        <v>Dmart</v>
      </c>
      <c r="C4" t="str">
        <v>NORTH</v>
      </c>
      <c r="D4">
        <v>186</v>
      </c>
      <c r="E4">
        <v>187</v>
      </c>
      <c r="F4">
        <v>182</v>
      </c>
      <c r="G4">
        <v>164</v>
      </c>
      <c r="H4">
        <v>170</v>
      </c>
      <c r="I4">
        <v>156</v>
      </c>
      <c r="J4">
        <v>226</v>
      </c>
      <c r="K4">
        <v>214</v>
      </c>
      <c r="L4">
        <v>200</v>
      </c>
      <c r="M4">
        <v>197</v>
      </c>
      <c r="N4">
        <v>198</v>
      </c>
      <c r="O4">
        <v>285</v>
      </c>
      <c r="P4">
        <v>288</v>
      </c>
      <c r="Q4">
        <v>351</v>
      </c>
      <c r="R4">
        <v>326</v>
      </c>
      <c r="S4" s="5">
        <f>SUM(D4:O4)</f>
      </c>
      <c r="T4" s="5">
        <f>SUM(P4:R4)</f>
      </c>
    </row>
    <row r="5">
      <c r="A5" t="str">
        <v>MT</v>
      </c>
      <c r="B5" t="str">
        <v>Dmart</v>
      </c>
      <c r="C5" t="str">
        <v>SOUTH-1</v>
      </c>
      <c r="D5">
        <v>126</v>
      </c>
      <c r="E5">
        <v>151</v>
      </c>
      <c r="F5">
        <v>138</v>
      </c>
      <c r="G5">
        <v>136</v>
      </c>
      <c r="H5">
        <v>141</v>
      </c>
      <c r="I5">
        <v>129</v>
      </c>
      <c r="J5">
        <v>144</v>
      </c>
      <c r="K5">
        <v>140</v>
      </c>
      <c r="L5">
        <v>151</v>
      </c>
      <c r="M5">
        <v>162</v>
      </c>
      <c r="N5">
        <v>161</v>
      </c>
      <c r="O5">
        <v>188</v>
      </c>
      <c r="P5">
        <v>213</v>
      </c>
      <c r="Q5">
        <v>267</v>
      </c>
      <c r="R5">
        <v>221</v>
      </c>
      <c r="S5" s="5">
        <f>SUM(D5:O5)</f>
      </c>
      <c r="T5" s="5">
        <f>SUM(P5:R5)</f>
      </c>
    </row>
    <row r="6">
      <c r="A6" t="str">
        <v>MT</v>
      </c>
      <c r="B6" t="str">
        <v>Dmart</v>
      </c>
      <c r="C6" t="str">
        <v>SOUTH-2</v>
      </c>
      <c r="D6">
        <v>120</v>
      </c>
      <c r="E6">
        <v>131</v>
      </c>
      <c r="F6">
        <v>142</v>
      </c>
      <c r="G6">
        <v>133</v>
      </c>
      <c r="H6">
        <v>124</v>
      </c>
      <c r="I6">
        <v>116</v>
      </c>
      <c r="J6">
        <v>134</v>
      </c>
      <c r="K6">
        <v>121</v>
      </c>
      <c r="L6">
        <v>125</v>
      </c>
      <c r="M6">
        <v>134</v>
      </c>
      <c r="N6">
        <v>122</v>
      </c>
      <c r="O6">
        <v>165</v>
      </c>
      <c r="P6">
        <v>177</v>
      </c>
      <c r="Q6">
        <v>218</v>
      </c>
      <c r="R6">
        <v>218</v>
      </c>
      <c r="S6" s="5">
        <f>SUM(D6:O6)</f>
      </c>
      <c r="T6" s="5">
        <f>SUM(P6:R6)</f>
      </c>
    </row>
    <row r="7">
      <c r="A7" t="str">
        <v>MT</v>
      </c>
      <c r="B7" t="str">
        <v>Dmart</v>
      </c>
      <c r="C7" t="str">
        <v>WEST</v>
      </c>
      <c r="D7">
        <v>415</v>
      </c>
      <c r="E7">
        <v>428</v>
      </c>
      <c r="F7">
        <v>394</v>
      </c>
      <c r="G7">
        <v>348</v>
      </c>
      <c r="H7">
        <v>366</v>
      </c>
      <c r="I7">
        <v>322</v>
      </c>
      <c r="J7">
        <v>489</v>
      </c>
      <c r="K7">
        <v>492</v>
      </c>
      <c r="L7">
        <v>467</v>
      </c>
      <c r="M7">
        <v>474</v>
      </c>
      <c r="N7">
        <v>447</v>
      </c>
      <c r="O7">
        <v>587</v>
      </c>
      <c r="P7">
        <v>577</v>
      </c>
      <c r="Q7">
        <v>680</v>
      </c>
      <c r="R7">
        <v>646</v>
      </c>
      <c r="S7" s="5">
        <f>SUM(D7:O7)</f>
      </c>
      <c r="T7" s="5">
        <f>SUM(P7:R7)</f>
      </c>
    </row>
    <row r="8">
      <c r="A8" t="str">
        <v>MT</v>
      </c>
      <c r="B8" t="str">
        <v>Reliance</v>
      </c>
      <c r="C8" t="str">
        <v>EAST</v>
      </c>
      <c r="D8">
        <v>158</v>
      </c>
      <c r="E8">
        <v>188</v>
      </c>
      <c r="F8">
        <v>156</v>
      </c>
      <c r="G8">
        <v>154</v>
      </c>
      <c r="H8">
        <v>217</v>
      </c>
      <c r="I8">
        <v>140</v>
      </c>
      <c r="J8">
        <v>165</v>
      </c>
      <c r="K8">
        <v>186</v>
      </c>
      <c r="L8">
        <v>186</v>
      </c>
      <c r="M8">
        <v>247</v>
      </c>
      <c r="N8">
        <v>189</v>
      </c>
      <c r="O8">
        <v>202</v>
      </c>
      <c r="P8">
        <v>235</v>
      </c>
      <c r="Q8">
        <v>264</v>
      </c>
      <c r="R8">
        <v>250</v>
      </c>
      <c r="S8" s="5">
        <f>SUM(D8:O8)</f>
      </c>
      <c r="T8" s="5">
        <f>SUM(P8:R8)</f>
      </c>
    </row>
    <row r="9">
      <c r="A9" t="str">
        <v>MT</v>
      </c>
      <c r="B9" t="str">
        <v>Reliance</v>
      </c>
      <c r="C9" t="str">
        <v>NORTH</v>
      </c>
      <c r="D9">
        <v>204</v>
      </c>
      <c r="E9">
        <v>243</v>
      </c>
      <c r="F9">
        <v>193</v>
      </c>
      <c r="G9">
        <v>180</v>
      </c>
      <c r="H9">
        <v>257</v>
      </c>
      <c r="I9">
        <v>165</v>
      </c>
      <c r="J9">
        <v>217</v>
      </c>
      <c r="K9">
        <v>216</v>
      </c>
      <c r="L9">
        <v>226</v>
      </c>
      <c r="M9">
        <v>278</v>
      </c>
      <c r="N9">
        <v>244</v>
      </c>
      <c r="O9">
        <v>254</v>
      </c>
      <c r="P9">
        <v>293</v>
      </c>
      <c r="Q9">
        <v>337</v>
      </c>
      <c r="R9">
        <v>309</v>
      </c>
      <c r="S9" s="5">
        <f>SUM(D9:O9)</f>
      </c>
      <c r="T9" s="5">
        <f>SUM(P9:R9)</f>
      </c>
    </row>
    <row r="10">
      <c r="A10" t="str">
        <v>MT</v>
      </c>
      <c r="B10" t="str">
        <v>Reliance</v>
      </c>
      <c r="C10" t="str">
        <v>SOUTH-1</v>
      </c>
      <c r="D10">
        <v>95</v>
      </c>
      <c r="E10">
        <v>117</v>
      </c>
      <c r="F10">
        <v>95</v>
      </c>
      <c r="G10">
        <v>89</v>
      </c>
      <c r="H10">
        <v>118</v>
      </c>
      <c r="I10">
        <v>99</v>
      </c>
      <c r="J10">
        <v>107</v>
      </c>
      <c r="K10">
        <v>100</v>
      </c>
      <c r="L10">
        <v>116</v>
      </c>
      <c r="M10">
        <v>142</v>
      </c>
      <c r="N10">
        <v>125</v>
      </c>
      <c r="O10">
        <v>130</v>
      </c>
      <c r="P10">
        <v>126</v>
      </c>
      <c r="Q10">
        <v>152</v>
      </c>
      <c r="R10">
        <v>151</v>
      </c>
      <c r="S10" s="5">
        <f>SUM(D10:O10)</f>
      </c>
      <c r="T10" s="5">
        <f>SUM(P10:R10)</f>
      </c>
    </row>
    <row r="11">
      <c r="A11" t="str">
        <v>MT</v>
      </c>
      <c r="B11" t="str">
        <v>Reliance</v>
      </c>
      <c r="C11" t="str">
        <v>SOUTH-2</v>
      </c>
      <c r="D11">
        <v>50</v>
      </c>
      <c r="E11">
        <v>59</v>
      </c>
      <c r="F11">
        <v>57</v>
      </c>
      <c r="G11">
        <v>52</v>
      </c>
      <c r="H11">
        <v>60</v>
      </c>
      <c r="I11">
        <v>47</v>
      </c>
      <c r="J11">
        <v>59</v>
      </c>
      <c r="K11">
        <v>59</v>
      </c>
      <c r="L11">
        <v>66</v>
      </c>
      <c r="M11">
        <v>84</v>
      </c>
      <c r="N11">
        <v>67</v>
      </c>
      <c r="O11">
        <v>74</v>
      </c>
      <c r="P11">
        <v>75</v>
      </c>
      <c r="Q11">
        <v>85</v>
      </c>
      <c r="R11">
        <v>94</v>
      </c>
      <c r="S11" s="5">
        <f>SUM(D11:O11)</f>
      </c>
      <c r="T11" s="5">
        <f>SUM(P11:R11)</f>
      </c>
    </row>
    <row r="12">
      <c r="A12" t="str">
        <v>MT</v>
      </c>
      <c r="B12" t="str">
        <v>Reliance</v>
      </c>
      <c r="C12" t="str">
        <v>WEST</v>
      </c>
      <c r="D12">
        <v>94</v>
      </c>
      <c r="E12">
        <v>107</v>
      </c>
      <c r="F12">
        <v>91</v>
      </c>
      <c r="G12">
        <v>82</v>
      </c>
      <c r="H12">
        <v>117</v>
      </c>
      <c r="I12">
        <v>91</v>
      </c>
      <c r="J12">
        <v>118</v>
      </c>
      <c r="K12">
        <v>118</v>
      </c>
      <c r="L12">
        <v>121</v>
      </c>
      <c r="M12">
        <v>148</v>
      </c>
      <c r="N12">
        <v>131</v>
      </c>
      <c r="O12">
        <v>144</v>
      </c>
      <c r="P12">
        <v>138</v>
      </c>
      <c r="Q12">
        <v>152</v>
      </c>
      <c r="R12">
        <v>143</v>
      </c>
      <c r="S12" s="5">
        <f>SUM(D12:O12)</f>
      </c>
      <c r="T12" s="5">
        <f>SUM(P12:R12)</f>
      </c>
    </row>
    <row r="13">
      <c r="A13" t="str">
        <v>MT</v>
      </c>
      <c r="B13" t="str">
        <v>Apollo</v>
      </c>
      <c r="C13" t="str">
        <v>EAST</v>
      </c>
      <c r="D13">
        <v>27</v>
      </c>
      <c r="E13">
        <v>30</v>
      </c>
      <c r="F13">
        <v>32</v>
      </c>
      <c r="G13">
        <v>33</v>
      </c>
      <c r="H13">
        <v>39</v>
      </c>
      <c r="I13">
        <v>38</v>
      </c>
      <c r="J13">
        <v>51</v>
      </c>
      <c r="K13">
        <v>73</v>
      </c>
      <c r="L13">
        <v>57</v>
      </c>
      <c r="M13">
        <v>49</v>
      </c>
      <c r="N13">
        <v>50</v>
      </c>
      <c r="O13">
        <v>58</v>
      </c>
      <c r="P13">
        <v>72</v>
      </c>
      <c r="Q13">
        <v>80</v>
      </c>
      <c r="R13">
        <v>80</v>
      </c>
      <c r="S13" s="5">
        <f>SUM(D13:O13)</f>
      </c>
      <c r="T13" s="5">
        <f>SUM(P13:R13)</f>
      </c>
    </row>
    <row r="14">
      <c r="A14" t="str">
        <v>MT</v>
      </c>
      <c r="B14" t="str">
        <v>Apollo</v>
      </c>
      <c r="C14" t="str">
        <v>NORTH</v>
      </c>
      <c r="D14">
        <v>43</v>
      </c>
      <c r="E14">
        <v>45</v>
      </c>
      <c r="F14">
        <v>45</v>
      </c>
      <c r="G14">
        <v>49</v>
      </c>
      <c r="H14">
        <v>61</v>
      </c>
      <c r="I14">
        <v>53</v>
      </c>
      <c r="J14">
        <v>85</v>
      </c>
      <c r="K14">
        <v>96</v>
      </c>
      <c r="L14">
        <v>96</v>
      </c>
      <c r="M14">
        <v>89</v>
      </c>
      <c r="N14">
        <v>92</v>
      </c>
      <c r="O14">
        <v>104</v>
      </c>
      <c r="P14">
        <v>118</v>
      </c>
      <c r="Q14">
        <v>125</v>
      </c>
      <c r="R14">
        <v>89</v>
      </c>
      <c r="S14" s="5">
        <f>SUM(D14:O14)</f>
      </c>
      <c r="T14" s="5">
        <f>SUM(P14:R14)</f>
      </c>
    </row>
    <row r="15">
      <c r="A15" t="str">
        <v>MT</v>
      </c>
      <c r="B15" t="str">
        <v>Apollo</v>
      </c>
      <c r="C15" t="str">
        <v>SOUTH-1</v>
      </c>
      <c r="D15">
        <v>84</v>
      </c>
      <c r="E15">
        <v>101</v>
      </c>
      <c r="F15">
        <v>102</v>
      </c>
      <c r="G15">
        <v>107</v>
      </c>
      <c r="H15">
        <v>122</v>
      </c>
      <c r="I15">
        <v>115</v>
      </c>
      <c r="J15">
        <v>149</v>
      </c>
      <c r="K15">
        <v>176</v>
      </c>
      <c r="L15">
        <v>193</v>
      </c>
      <c r="M15">
        <v>186</v>
      </c>
      <c r="N15">
        <v>182</v>
      </c>
      <c r="O15">
        <v>208</v>
      </c>
      <c r="P15">
        <v>272</v>
      </c>
      <c r="Q15">
        <v>292</v>
      </c>
      <c r="R15">
        <v>211</v>
      </c>
      <c r="S15" s="5">
        <f>SUM(D15:O15)</f>
      </c>
      <c r="T15" s="5">
        <f>SUM(P15:R15)</f>
      </c>
    </row>
    <row r="16">
      <c r="A16" t="str">
        <v>MT</v>
      </c>
      <c r="B16" t="str">
        <v>Apollo</v>
      </c>
      <c r="C16" t="str">
        <v>SOUTH-2</v>
      </c>
      <c r="D16">
        <v>67</v>
      </c>
      <c r="E16">
        <v>69</v>
      </c>
      <c r="F16">
        <v>70</v>
      </c>
      <c r="G16">
        <v>70</v>
      </c>
      <c r="H16">
        <v>75</v>
      </c>
      <c r="I16">
        <v>71</v>
      </c>
      <c r="J16">
        <v>100</v>
      </c>
      <c r="K16">
        <v>153</v>
      </c>
      <c r="L16">
        <v>161</v>
      </c>
      <c r="M16">
        <v>151</v>
      </c>
      <c r="N16">
        <v>131</v>
      </c>
      <c r="O16">
        <v>138</v>
      </c>
      <c r="P16">
        <v>163</v>
      </c>
      <c r="Q16">
        <v>176</v>
      </c>
      <c r="R16">
        <v>144</v>
      </c>
      <c r="S16" s="5">
        <f>SUM(D16:O16)</f>
      </c>
      <c r="T16" s="5">
        <f>SUM(P16:R16)</f>
      </c>
    </row>
    <row r="17">
      <c r="A17" t="str">
        <v>MT</v>
      </c>
      <c r="B17" t="str">
        <v>Apollo</v>
      </c>
      <c r="C17" t="str">
        <v>WEST</v>
      </c>
      <c r="D17">
        <v>25</v>
      </c>
      <c r="E17">
        <v>27</v>
      </c>
      <c r="F17">
        <v>26</v>
      </c>
      <c r="G17">
        <v>27</v>
      </c>
      <c r="H17">
        <v>31</v>
      </c>
      <c r="I17">
        <v>29</v>
      </c>
      <c r="J17">
        <v>45</v>
      </c>
      <c r="K17">
        <v>58</v>
      </c>
      <c r="L17">
        <v>59</v>
      </c>
      <c r="M17">
        <v>59</v>
      </c>
      <c r="N17">
        <v>57</v>
      </c>
      <c r="O17">
        <v>62</v>
      </c>
      <c r="P17">
        <v>74</v>
      </c>
      <c r="Q17">
        <v>79</v>
      </c>
      <c r="R17">
        <v>75</v>
      </c>
      <c r="S17" s="5">
        <f>SUM(D17:O17)</f>
      </c>
      <c r="T17" s="5">
        <f>SUM(P17:R17)</f>
      </c>
    </row>
    <row r="18">
      <c r="A18" t="str">
        <v>MT</v>
      </c>
      <c r="B18" t="str">
        <v>Wellness Forever</v>
      </c>
      <c r="C18" t="str">
        <v>NORTH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2</v>
      </c>
      <c r="K18">
        <v>1</v>
      </c>
      <c r="L18">
        <v>2</v>
      </c>
      <c r="M18">
        <v>1</v>
      </c>
      <c r="N18">
        <v>1</v>
      </c>
      <c r="O18">
        <v>2</v>
      </c>
      <c r="P18">
        <v>2</v>
      </c>
      <c r="Q18">
        <v>2</v>
      </c>
      <c r="R18">
        <v>1</v>
      </c>
      <c r="S18" s="5">
        <f>SUM(D18:O18)</f>
      </c>
      <c r="T18" s="5">
        <f>SUM(P18:R18)</f>
      </c>
    </row>
    <row r="19">
      <c r="A19" t="str">
        <v>MT</v>
      </c>
      <c r="B19" t="str">
        <v>Wellness Forever</v>
      </c>
      <c r="C19" t="str">
        <v>SOUTH-1</v>
      </c>
      <c r="D19">
        <v>7</v>
      </c>
      <c r="E19">
        <v>7</v>
      </c>
      <c r="F19">
        <v>6</v>
      </c>
      <c r="G19">
        <v>6</v>
      </c>
      <c r="H19">
        <v>6</v>
      </c>
      <c r="I19">
        <v>6</v>
      </c>
      <c r="J19">
        <v>7</v>
      </c>
      <c r="K19">
        <v>7</v>
      </c>
      <c r="L19">
        <v>8</v>
      </c>
      <c r="M19">
        <v>6</v>
      </c>
      <c r="N19">
        <v>7</v>
      </c>
      <c r="O19">
        <v>7</v>
      </c>
      <c r="P19">
        <v>8</v>
      </c>
      <c r="Q19">
        <v>8</v>
      </c>
      <c r="R19">
        <v>5</v>
      </c>
      <c r="S19" s="5">
        <f>SUM(D19:O19)</f>
      </c>
      <c r="T19" s="5">
        <f>SUM(P19:R19)</f>
      </c>
    </row>
    <row r="20">
      <c r="A20" t="str">
        <v>MT</v>
      </c>
      <c r="B20" t="str">
        <v>Wellness Forever</v>
      </c>
      <c r="C20" t="str">
        <v>WEST</v>
      </c>
      <c r="D20">
        <v>81</v>
      </c>
      <c r="E20">
        <v>77</v>
      </c>
      <c r="F20">
        <v>67</v>
      </c>
      <c r="G20">
        <v>65</v>
      </c>
      <c r="H20">
        <v>65</v>
      </c>
      <c r="I20">
        <v>60</v>
      </c>
      <c r="J20">
        <v>80</v>
      </c>
      <c r="K20">
        <v>85</v>
      </c>
      <c r="L20">
        <v>79</v>
      </c>
      <c r="M20">
        <v>75</v>
      </c>
      <c r="N20">
        <v>77</v>
      </c>
      <c r="O20">
        <v>89</v>
      </c>
      <c r="P20">
        <v>100</v>
      </c>
      <c r="Q20">
        <v>92</v>
      </c>
      <c r="R20">
        <v>73</v>
      </c>
      <c r="S20" s="5">
        <f>SUM(D20:O20)</f>
      </c>
      <c r="T20" s="5">
        <f>SUM(P20:R20)</f>
      </c>
    </row>
    <row r="21">
      <c r="A21" t="str">
        <v>MT</v>
      </c>
      <c r="B21" t="str">
        <v>H&amp;G</v>
      </c>
      <c r="C21" t="str">
        <v>EAST</v>
      </c>
      <c r="D21">
        <v>4</v>
      </c>
      <c r="E21">
        <v>4</v>
      </c>
      <c r="F21">
        <v>5</v>
      </c>
      <c r="G21">
        <v>4</v>
      </c>
      <c r="H21">
        <v>5</v>
      </c>
      <c r="I21">
        <v>4</v>
      </c>
      <c r="J21">
        <v>4</v>
      </c>
      <c r="K21">
        <v>4</v>
      </c>
      <c r="L21">
        <v>4</v>
      </c>
      <c r="M21">
        <v>5</v>
      </c>
      <c r="N21">
        <v>3</v>
      </c>
      <c r="O21">
        <v>2</v>
      </c>
      <c r="P21">
        <v>2</v>
      </c>
      <c r="Q21">
        <v>3</v>
      </c>
      <c r="R21">
        <v>2</v>
      </c>
      <c r="S21" s="5">
        <f>SUM(D21:O21)</f>
      </c>
      <c r="T21" s="5">
        <f>SUM(P21:R21)</f>
      </c>
    </row>
    <row r="22">
      <c r="A22" t="str">
        <v>MT</v>
      </c>
      <c r="B22" t="str">
        <v>H&amp;G</v>
      </c>
      <c r="C22" t="str">
        <v>NORTH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s="5">
        <f>SUM(D22:O22)</f>
      </c>
      <c r="T22" s="5">
        <f>SUM(P22:R22)</f>
      </c>
    </row>
    <row r="23">
      <c r="A23" t="str">
        <v>MT</v>
      </c>
      <c r="B23" t="str">
        <v>H&amp;G</v>
      </c>
      <c r="C23" t="str">
        <v>SOUTH-1</v>
      </c>
      <c r="D23">
        <v>46</v>
      </c>
      <c r="E23">
        <v>53</v>
      </c>
      <c r="F23">
        <v>53</v>
      </c>
      <c r="G23">
        <v>54</v>
      </c>
      <c r="H23">
        <v>60</v>
      </c>
      <c r="I23">
        <v>58</v>
      </c>
      <c r="J23">
        <v>47</v>
      </c>
      <c r="K23">
        <v>44</v>
      </c>
      <c r="L23">
        <v>48</v>
      </c>
      <c r="M23">
        <v>54</v>
      </c>
      <c r="N23">
        <v>31</v>
      </c>
      <c r="O23">
        <v>33</v>
      </c>
      <c r="P23">
        <v>43</v>
      </c>
      <c r="Q23">
        <v>58</v>
      </c>
      <c r="R23">
        <v>35</v>
      </c>
      <c r="S23" s="5">
        <f>SUM(D23:O23)</f>
      </c>
      <c r="T23" s="5">
        <f>SUM(P23:R23)</f>
      </c>
    </row>
    <row r="24">
      <c r="A24" t="str">
        <v>MT</v>
      </c>
      <c r="B24" t="str">
        <v>H&amp;G</v>
      </c>
      <c r="C24" t="str">
        <v>SOUTH-2</v>
      </c>
      <c r="D24">
        <v>20</v>
      </c>
      <c r="E24">
        <v>22</v>
      </c>
      <c r="F24">
        <v>23</v>
      </c>
      <c r="G24">
        <v>21</v>
      </c>
      <c r="H24">
        <v>23</v>
      </c>
      <c r="I24">
        <v>21</v>
      </c>
      <c r="J24">
        <v>15</v>
      </c>
      <c r="K24">
        <v>17</v>
      </c>
      <c r="L24">
        <v>18</v>
      </c>
      <c r="M24">
        <v>21</v>
      </c>
      <c r="N24">
        <v>14</v>
      </c>
      <c r="O24">
        <v>14</v>
      </c>
      <c r="P24">
        <v>15</v>
      </c>
      <c r="Q24">
        <v>24</v>
      </c>
      <c r="R24">
        <v>14</v>
      </c>
      <c r="S24" s="5">
        <f>SUM(D24:O24)</f>
      </c>
      <c r="T24" s="5">
        <f>SUM(P24:R24)</f>
      </c>
    </row>
    <row r="25">
      <c r="A25" t="str">
        <v>MT</v>
      </c>
      <c r="B25" t="str">
        <v>H&amp;G</v>
      </c>
      <c r="C25" t="str">
        <v>WEST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2</v>
      </c>
      <c r="R25">
        <v>1</v>
      </c>
      <c r="S25" s="5">
        <f>SUM(D25:O25)</f>
      </c>
      <c r="T25" s="5">
        <f>SUM(P25:R25)</f>
      </c>
    </row>
    <row r="26">
      <c r="A26" t="str">
        <v>MT</v>
      </c>
      <c r="B26" t="str">
        <v>Lulu</v>
      </c>
      <c r="C26" t="str">
        <v>NORTH</v>
      </c>
      <c r="D26">
        <v>4</v>
      </c>
      <c r="E26">
        <v>5</v>
      </c>
      <c r="F26">
        <v>5</v>
      </c>
      <c r="G26">
        <v>5</v>
      </c>
      <c r="H26">
        <v>10</v>
      </c>
      <c r="I26">
        <v>8</v>
      </c>
      <c r="J26">
        <v>17</v>
      </c>
      <c r="K26">
        <v>14</v>
      </c>
      <c r="L26">
        <v>15</v>
      </c>
      <c r="M26">
        <v>18</v>
      </c>
      <c r="N26">
        <v>13</v>
      </c>
      <c r="O26">
        <v>15</v>
      </c>
      <c r="P26">
        <v>17</v>
      </c>
      <c r="Q26">
        <v>19</v>
      </c>
      <c r="R26">
        <v>18</v>
      </c>
      <c r="S26" s="5">
        <f>SUM(D26:O26)</f>
      </c>
      <c r="T26" s="5">
        <f>SUM(P26:R26)</f>
      </c>
    </row>
    <row r="27">
      <c r="A27" t="str">
        <v>MT</v>
      </c>
      <c r="B27" t="str">
        <v>Lulu</v>
      </c>
      <c r="C27" t="str">
        <v>SOUTH-1</v>
      </c>
      <c r="D27">
        <v>32</v>
      </c>
      <c r="E27">
        <v>35</v>
      </c>
      <c r="F27">
        <v>36</v>
      </c>
      <c r="G27">
        <v>39</v>
      </c>
      <c r="H27">
        <v>40</v>
      </c>
      <c r="I27">
        <v>42</v>
      </c>
      <c r="J27">
        <v>45</v>
      </c>
      <c r="K27">
        <v>49</v>
      </c>
      <c r="L27">
        <v>65</v>
      </c>
      <c r="M27">
        <v>79</v>
      </c>
      <c r="N27">
        <v>51</v>
      </c>
      <c r="O27">
        <v>57</v>
      </c>
      <c r="P27">
        <v>75</v>
      </c>
      <c r="Q27">
        <v>84</v>
      </c>
      <c r="R27">
        <v>86</v>
      </c>
      <c r="S27" s="5">
        <f>SUM(D27:O27)</f>
      </c>
      <c r="T27" s="5">
        <f>SUM(P27:R27)</f>
      </c>
    </row>
    <row r="28">
      <c r="A28" t="str">
        <v>MT</v>
      </c>
      <c r="B28" t="str">
        <v>Lulu</v>
      </c>
      <c r="C28" t="str">
        <v>SOUTH-2</v>
      </c>
      <c r="D28">
        <v>2</v>
      </c>
      <c r="E28">
        <v>2</v>
      </c>
      <c r="F28">
        <v>2</v>
      </c>
      <c r="G28">
        <v>3</v>
      </c>
      <c r="H28">
        <v>3</v>
      </c>
      <c r="I28">
        <v>3</v>
      </c>
      <c r="J28">
        <v>3</v>
      </c>
      <c r="K28">
        <v>6</v>
      </c>
      <c r="L28">
        <v>6</v>
      </c>
      <c r="M28">
        <v>6</v>
      </c>
      <c r="N28">
        <v>6</v>
      </c>
      <c r="O28">
        <v>6</v>
      </c>
      <c r="P28">
        <v>9</v>
      </c>
      <c r="Q28">
        <v>13</v>
      </c>
      <c r="R28">
        <v>12</v>
      </c>
      <c r="S28" s="5">
        <f>SUM(D28:O28)</f>
      </c>
      <c r="T28" s="5">
        <f>SUM(P28:R28)</f>
      </c>
    </row>
    <row r="29">
      <c r="A29" t="str">
        <v>MT</v>
      </c>
      <c r="B29" t="str">
        <v>Metro Cnc</v>
      </c>
      <c r="C29" t="str">
        <v>EAST</v>
      </c>
      <c r="D29">
        <v>4</v>
      </c>
      <c r="E29">
        <v>3</v>
      </c>
      <c r="F29">
        <v>3</v>
      </c>
      <c r="G29">
        <v>3</v>
      </c>
      <c r="H29">
        <v>4</v>
      </c>
      <c r="I29">
        <v>3</v>
      </c>
      <c r="J29">
        <v>4</v>
      </c>
      <c r="K29">
        <v>5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3</v>
      </c>
      <c r="S29" s="5">
        <f>SUM(D29:O29)</f>
      </c>
      <c r="T29" s="5">
        <f>SUM(P29:R29)</f>
      </c>
    </row>
    <row r="30">
      <c r="A30" t="str">
        <v>MT</v>
      </c>
      <c r="B30" t="str">
        <v>Metro Cnc</v>
      </c>
      <c r="C30" t="str">
        <v>NORTH</v>
      </c>
      <c r="D30">
        <v>15</v>
      </c>
      <c r="E30">
        <v>11</v>
      </c>
      <c r="F30">
        <v>10</v>
      </c>
      <c r="G30">
        <v>10</v>
      </c>
      <c r="H30">
        <v>10</v>
      </c>
      <c r="I30">
        <v>8</v>
      </c>
      <c r="J30">
        <v>21</v>
      </c>
      <c r="K30">
        <v>16</v>
      </c>
      <c r="L30">
        <v>14</v>
      </c>
      <c r="M30">
        <v>12</v>
      </c>
      <c r="N30">
        <v>12</v>
      </c>
      <c r="O30">
        <v>13</v>
      </c>
      <c r="P30">
        <v>14</v>
      </c>
      <c r="Q30">
        <v>13</v>
      </c>
      <c r="R30">
        <v>13</v>
      </c>
      <c r="S30" s="5">
        <f>SUM(D30:O30)</f>
      </c>
      <c r="T30" s="5">
        <f>SUM(P30:R30)</f>
      </c>
    </row>
    <row r="31">
      <c r="A31" t="str">
        <v>MT</v>
      </c>
      <c r="B31" t="str">
        <v>Metro Cnc</v>
      </c>
      <c r="C31" t="str">
        <v>SOUTH-1</v>
      </c>
      <c r="D31">
        <v>15</v>
      </c>
      <c r="E31">
        <v>15</v>
      </c>
      <c r="F31">
        <v>14</v>
      </c>
      <c r="G31">
        <v>13</v>
      </c>
      <c r="H31">
        <v>15</v>
      </c>
      <c r="I31">
        <v>13</v>
      </c>
      <c r="J31">
        <v>19</v>
      </c>
      <c r="K31">
        <v>16</v>
      </c>
      <c r="L31">
        <v>18</v>
      </c>
      <c r="M31">
        <v>17</v>
      </c>
      <c r="N31">
        <v>15</v>
      </c>
      <c r="O31">
        <v>18</v>
      </c>
      <c r="P31">
        <v>15</v>
      </c>
      <c r="Q31">
        <v>15</v>
      </c>
      <c r="R31">
        <v>14</v>
      </c>
      <c r="S31" s="5">
        <f>SUM(D31:O31)</f>
      </c>
      <c r="T31" s="5">
        <f>SUM(P31:R31)</f>
      </c>
    </row>
    <row r="32">
      <c r="A32" t="str">
        <v>MT</v>
      </c>
      <c r="B32" t="str">
        <v>Metro Cnc</v>
      </c>
      <c r="C32" t="str">
        <v>SOUTH-2</v>
      </c>
      <c r="D32">
        <v>12</v>
      </c>
      <c r="E32">
        <v>10</v>
      </c>
      <c r="F32">
        <v>11</v>
      </c>
      <c r="G32">
        <v>10</v>
      </c>
      <c r="H32">
        <v>10</v>
      </c>
      <c r="I32">
        <v>7</v>
      </c>
      <c r="J32">
        <v>12</v>
      </c>
      <c r="K32">
        <v>13</v>
      </c>
      <c r="L32">
        <v>15</v>
      </c>
      <c r="M32">
        <v>14</v>
      </c>
      <c r="N32">
        <v>12</v>
      </c>
      <c r="O32">
        <v>12</v>
      </c>
      <c r="P32">
        <v>10</v>
      </c>
      <c r="Q32">
        <v>10</v>
      </c>
      <c r="R32">
        <v>12</v>
      </c>
      <c r="S32" s="5">
        <f>SUM(D32:O32)</f>
      </c>
      <c r="T32" s="5">
        <f>SUM(P32:R32)</f>
      </c>
    </row>
    <row r="33">
      <c r="A33" t="str">
        <v>MT</v>
      </c>
      <c r="B33" t="str">
        <v>Metro Cnc</v>
      </c>
      <c r="C33" t="str">
        <v>WEST</v>
      </c>
      <c r="D33">
        <v>7</v>
      </c>
      <c r="E33">
        <v>7</v>
      </c>
      <c r="F33">
        <v>6</v>
      </c>
      <c r="G33">
        <v>6</v>
      </c>
      <c r="H33">
        <v>5</v>
      </c>
      <c r="I33">
        <v>4</v>
      </c>
      <c r="J33">
        <v>7</v>
      </c>
      <c r="K33">
        <v>8</v>
      </c>
      <c r="L33">
        <v>6</v>
      </c>
      <c r="M33">
        <v>6</v>
      </c>
      <c r="N33">
        <v>5</v>
      </c>
      <c r="O33">
        <v>6</v>
      </c>
      <c r="P33">
        <v>6</v>
      </c>
      <c r="Q33">
        <v>5</v>
      </c>
      <c r="R33">
        <v>18</v>
      </c>
      <c r="S33" s="5">
        <f>SUM(D33:O33)</f>
      </c>
      <c r="T33" s="5">
        <f>SUM(P33:R33)</f>
      </c>
    </row>
    <row r="34">
      <c r="A34" t="str">
        <v>MT</v>
      </c>
      <c r="B34" t="str">
        <v>Sancus(Rmt)</v>
      </c>
      <c r="C34" t="str">
        <v>NORTH</v>
      </c>
      <c r="D34">
        <v>36</v>
      </c>
      <c r="E34">
        <v>41</v>
      </c>
      <c r="F34">
        <v>36</v>
      </c>
      <c r="G34">
        <v>41</v>
      </c>
      <c r="H34">
        <v>30</v>
      </c>
      <c r="I34">
        <v>47</v>
      </c>
      <c r="J34">
        <v>30</v>
      </c>
      <c r="K34">
        <v>33</v>
      </c>
      <c r="L34">
        <v>54</v>
      </c>
      <c r="M34">
        <v>35</v>
      </c>
      <c r="N34">
        <v>28</v>
      </c>
      <c r="O34">
        <v>42</v>
      </c>
      <c r="P34">
        <v>58</v>
      </c>
      <c r="Q34">
        <v>46</v>
      </c>
      <c r="R34">
        <v>40</v>
      </c>
      <c r="S34" s="5">
        <f>SUM(D34:O34)</f>
      </c>
      <c r="T34" s="5">
        <f>SUM(P34:R34)</f>
      </c>
    </row>
    <row r="35">
      <c r="A35" t="str">
        <v>MT</v>
      </c>
      <c r="B35" t="str">
        <v>More Retail</v>
      </c>
      <c r="C35" t="str">
        <v>EAST</v>
      </c>
      <c r="D35">
        <v>4</v>
      </c>
      <c r="E35">
        <v>5</v>
      </c>
      <c r="F35">
        <v>7</v>
      </c>
      <c r="G35">
        <v>7</v>
      </c>
      <c r="H35">
        <v>7</v>
      </c>
      <c r="I35">
        <v>7</v>
      </c>
      <c r="J35">
        <v>9</v>
      </c>
      <c r="K35">
        <v>10</v>
      </c>
      <c r="L35">
        <v>9</v>
      </c>
      <c r="M35">
        <v>8</v>
      </c>
      <c r="N35">
        <v>8</v>
      </c>
      <c r="O35">
        <v>9</v>
      </c>
      <c r="P35">
        <v>11</v>
      </c>
      <c r="Q35">
        <v>11</v>
      </c>
      <c r="R35">
        <v>10</v>
      </c>
      <c r="S35" s="5">
        <f>SUM(D35:O35)</f>
      </c>
      <c r="T35" s="5">
        <f>SUM(P35:R35)</f>
      </c>
    </row>
    <row r="36">
      <c r="A36" t="str">
        <v>MT</v>
      </c>
      <c r="B36" t="str">
        <v>More Retail</v>
      </c>
      <c r="C36" t="str">
        <v>NORTH</v>
      </c>
      <c r="D36">
        <v>5</v>
      </c>
      <c r="E36">
        <v>5</v>
      </c>
      <c r="F36">
        <v>6</v>
      </c>
      <c r="G36">
        <v>7</v>
      </c>
      <c r="H36">
        <v>7</v>
      </c>
      <c r="I36">
        <v>7</v>
      </c>
      <c r="J36">
        <v>8</v>
      </c>
      <c r="K36">
        <v>7</v>
      </c>
      <c r="L36">
        <v>7</v>
      </c>
      <c r="M36">
        <v>7</v>
      </c>
      <c r="N36">
        <v>8</v>
      </c>
      <c r="O36">
        <v>10</v>
      </c>
      <c r="P36">
        <v>11</v>
      </c>
      <c r="Q36">
        <v>13</v>
      </c>
      <c r="R36">
        <v>10</v>
      </c>
      <c r="S36" s="5">
        <f>SUM(D36:O36)</f>
      </c>
      <c r="T36" s="5">
        <f>SUM(P36:R36)</f>
      </c>
    </row>
    <row r="37">
      <c r="A37" t="str">
        <v>MT</v>
      </c>
      <c r="B37" t="str">
        <v>More Retail</v>
      </c>
      <c r="C37" t="str">
        <v>SOUTH-1</v>
      </c>
      <c r="D37">
        <v>6</v>
      </c>
      <c r="E37">
        <v>6</v>
      </c>
      <c r="F37">
        <v>8</v>
      </c>
      <c r="G37">
        <v>7</v>
      </c>
      <c r="H37">
        <v>9</v>
      </c>
      <c r="I37">
        <v>9</v>
      </c>
      <c r="J37">
        <v>12</v>
      </c>
      <c r="K37">
        <v>12</v>
      </c>
      <c r="L37">
        <v>14</v>
      </c>
      <c r="M37">
        <v>11</v>
      </c>
      <c r="N37">
        <v>10</v>
      </c>
      <c r="O37">
        <v>12</v>
      </c>
      <c r="P37">
        <v>8</v>
      </c>
      <c r="Q37">
        <v>11</v>
      </c>
      <c r="R37">
        <v>11</v>
      </c>
      <c r="S37" s="5">
        <f>SUM(D37:O37)</f>
      </c>
      <c r="T37" s="5">
        <f>SUM(P37:R37)</f>
      </c>
    </row>
    <row r="38">
      <c r="A38" t="str">
        <v>MT</v>
      </c>
      <c r="B38" t="str">
        <v>More Retail</v>
      </c>
      <c r="C38" t="str">
        <v>SOUTH-2</v>
      </c>
      <c r="D38">
        <v>9</v>
      </c>
      <c r="E38">
        <v>10</v>
      </c>
      <c r="F38">
        <v>13</v>
      </c>
      <c r="G38">
        <v>14</v>
      </c>
      <c r="H38">
        <v>11</v>
      </c>
      <c r="I38">
        <v>11</v>
      </c>
      <c r="J38">
        <v>11</v>
      </c>
      <c r="K38">
        <v>11</v>
      </c>
      <c r="L38">
        <v>12</v>
      </c>
      <c r="M38">
        <v>12</v>
      </c>
      <c r="N38">
        <v>12</v>
      </c>
      <c r="O38">
        <v>14</v>
      </c>
      <c r="P38">
        <v>15</v>
      </c>
      <c r="Q38">
        <v>20</v>
      </c>
      <c r="R38">
        <v>13</v>
      </c>
      <c r="S38" s="5">
        <f>SUM(D38:O38)</f>
      </c>
      <c r="T38" s="5">
        <f>SUM(P38:R38)</f>
      </c>
    </row>
    <row r="39">
      <c r="A39" t="str">
        <v>MT</v>
      </c>
      <c r="B39" t="str">
        <v>Walmart Cnc</v>
      </c>
      <c r="C39" t="str">
        <v>NORTH</v>
      </c>
      <c r="D39">
        <v>13</v>
      </c>
      <c r="E39">
        <v>12</v>
      </c>
      <c r="F39">
        <v>12</v>
      </c>
      <c r="G39">
        <v>11</v>
      </c>
      <c r="H39">
        <v>11</v>
      </c>
      <c r="I39">
        <v>10</v>
      </c>
      <c r="J39">
        <v>14</v>
      </c>
      <c r="K39">
        <v>18</v>
      </c>
      <c r="L39">
        <v>19</v>
      </c>
      <c r="M39">
        <v>14</v>
      </c>
      <c r="N39">
        <v>14</v>
      </c>
      <c r="O39">
        <v>15</v>
      </c>
      <c r="P39">
        <v>21</v>
      </c>
      <c r="Q39">
        <v>9</v>
      </c>
      <c r="S39" s="5">
        <f>SUM(D39:O39)</f>
      </c>
      <c r="T39" s="5">
        <f>SUM(P39:R39)</f>
      </c>
    </row>
    <row r="40">
      <c r="A40" t="str">
        <v>MT</v>
      </c>
      <c r="B40" t="str">
        <v>Walmart Cnc</v>
      </c>
      <c r="C40" t="str">
        <v>SOUTH-2</v>
      </c>
      <c r="D40">
        <v>4</v>
      </c>
      <c r="E40">
        <v>3</v>
      </c>
      <c r="F40">
        <v>4</v>
      </c>
      <c r="G40">
        <v>2</v>
      </c>
      <c r="H40">
        <v>2</v>
      </c>
      <c r="I40">
        <v>2</v>
      </c>
      <c r="J40">
        <v>2</v>
      </c>
      <c r="K40">
        <v>2</v>
      </c>
      <c r="L40">
        <v>3</v>
      </c>
      <c r="M40">
        <v>1</v>
      </c>
      <c r="N40">
        <v>1</v>
      </c>
      <c r="O40">
        <v>2</v>
      </c>
      <c r="P40">
        <v>2</v>
      </c>
      <c r="Q40">
        <v>1</v>
      </c>
      <c r="S40" s="5">
        <f>SUM(D40:O40)</f>
      </c>
      <c r="T40" s="5">
        <f>SUM(P40:R40)</f>
      </c>
    </row>
    <row r="41">
      <c r="A41" t="str">
        <v>MT</v>
      </c>
      <c r="B41" t="str">
        <v>Walmart Cnc</v>
      </c>
      <c r="C41" t="str">
        <v>WEST</v>
      </c>
      <c r="D41">
        <v>10</v>
      </c>
      <c r="E41">
        <v>3</v>
      </c>
      <c r="F41">
        <v>4</v>
      </c>
      <c r="G41">
        <v>2</v>
      </c>
      <c r="H41">
        <v>2</v>
      </c>
      <c r="I41">
        <v>1</v>
      </c>
      <c r="J41">
        <v>2</v>
      </c>
      <c r="K41">
        <v>3</v>
      </c>
      <c r="L41">
        <v>2</v>
      </c>
      <c r="M41">
        <v>2</v>
      </c>
      <c r="N41">
        <v>2</v>
      </c>
      <c r="O41">
        <v>2</v>
      </c>
      <c r="P41">
        <v>3</v>
      </c>
      <c r="Q41">
        <v>1</v>
      </c>
      <c r="S41" s="5">
        <f>SUM(D41:O41)</f>
      </c>
      <c r="T41" s="5">
        <f>SUM(P41:R41)</f>
      </c>
    </row>
    <row r="42">
      <c r="A42" t="str">
        <v>MT</v>
      </c>
      <c r="B42" t="str">
        <v>Spencer</v>
      </c>
      <c r="C42" t="str">
        <v>EAST</v>
      </c>
      <c r="E42">
        <v>23</v>
      </c>
      <c r="F42">
        <v>11</v>
      </c>
      <c r="G42">
        <v>10</v>
      </c>
      <c r="H42">
        <v>6</v>
      </c>
      <c r="I42">
        <v>8</v>
      </c>
      <c r="J42">
        <v>7</v>
      </c>
      <c r="K42">
        <v>8</v>
      </c>
      <c r="L42">
        <v>16</v>
      </c>
      <c r="M42">
        <v>9</v>
      </c>
      <c r="N42">
        <v>10</v>
      </c>
      <c r="O42">
        <v>9</v>
      </c>
      <c r="P42">
        <v>9</v>
      </c>
      <c r="Q42">
        <v>8</v>
      </c>
      <c r="R42">
        <v>6</v>
      </c>
      <c r="S42" s="5">
        <f>SUM(D42:O42)</f>
      </c>
      <c r="T42" s="5">
        <f>SUM(P42:R42)</f>
      </c>
    </row>
    <row r="43">
      <c r="A43" t="str">
        <v>MT</v>
      </c>
      <c r="B43" t="str">
        <v>Spencer</v>
      </c>
      <c r="C43" t="str">
        <v>NORTH</v>
      </c>
      <c r="E43">
        <v>9</v>
      </c>
      <c r="F43">
        <v>4</v>
      </c>
      <c r="G43">
        <v>4</v>
      </c>
      <c r="H43">
        <v>4</v>
      </c>
      <c r="I43">
        <v>3</v>
      </c>
      <c r="J43">
        <v>3</v>
      </c>
      <c r="K43">
        <v>4</v>
      </c>
      <c r="L43">
        <v>6</v>
      </c>
      <c r="M43">
        <v>3</v>
      </c>
      <c r="N43">
        <v>4</v>
      </c>
      <c r="O43">
        <v>3</v>
      </c>
      <c r="P43">
        <v>3</v>
      </c>
      <c r="Q43">
        <v>4</v>
      </c>
      <c r="R43">
        <v>2</v>
      </c>
      <c r="S43" s="5">
        <f>SUM(D43:O43)</f>
      </c>
      <c r="T43" s="5">
        <f>SUM(P43:R43)</f>
      </c>
    </row>
    <row r="44">
      <c r="A44" t="str">
        <v>MT</v>
      </c>
      <c r="B44" t="str">
        <v>Vmm</v>
      </c>
      <c r="C44" t="str">
        <v>EAST</v>
      </c>
      <c r="D44">
        <v>9</v>
      </c>
      <c r="E44">
        <v>8</v>
      </c>
      <c r="F44">
        <v>6</v>
      </c>
      <c r="G44">
        <v>7</v>
      </c>
      <c r="H44">
        <v>7</v>
      </c>
      <c r="I44">
        <v>7</v>
      </c>
      <c r="J44">
        <v>4</v>
      </c>
      <c r="K44">
        <v>1</v>
      </c>
      <c r="L44">
        <v>6</v>
      </c>
      <c r="M44">
        <v>9</v>
      </c>
      <c r="N44">
        <v>7</v>
      </c>
      <c r="O44">
        <v>13</v>
      </c>
      <c r="P44">
        <v>15</v>
      </c>
      <c r="Q44">
        <v>16</v>
      </c>
      <c r="R44">
        <v>12</v>
      </c>
      <c r="S44" s="5">
        <f>SUM(D44:O44)</f>
      </c>
      <c r="T44" s="5">
        <f>SUM(P44:R44)</f>
      </c>
    </row>
    <row r="45">
      <c r="A45" t="str">
        <v>MT</v>
      </c>
      <c r="B45" t="str">
        <v>Vmm</v>
      </c>
      <c r="C45" t="str">
        <v>NORTH</v>
      </c>
      <c r="D45">
        <v>6</v>
      </c>
      <c r="E45">
        <v>4</v>
      </c>
      <c r="F45">
        <v>5</v>
      </c>
      <c r="G45">
        <v>5</v>
      </c>
      <c r="H45">
        <v>3</v>
      </c>
      <c r="I45">
        <v>2</v>
      </c>
      <c r="J45">
        <v>2</v>
      </c>
      <c r="K45">
        <v>1</v>
      </c>
      <c r="L45">
        <v>4</v>
      </c>
      <c r="M45">
        <v>7</v>
      </c>
      <c r="N45">
        <v>7</v>
      </c>
      <c r="O45">
        <v>11</v>
      </c>
      <c r="P45">
        <v>11</v>
      </c>
      <c r="Q45">
        <v>11</v>
      </c>
      <c r="R45">
        <v>13</v>
      </c>
      <c r="S45" s="5">
        <f>SUM(D45:O45)</f>
      </c>
      <c r="T45" s="5">
        <f>SUM(P45:R45)</f>
      </c>
    </row>
    <row r="46">
      <c r="A46" t="str">
        <v>MT</v>
      </c>
      <c r="B46" t="str">
        <v>Vmm</v>
      </c>
      <c r="C46" t="str">
        <v>SOUTH-1</v>
      </c>
      <c r="D46">
        <v>1</v>
      </c>
      <c r="E46">
        <v>1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1</v>
      </c>
      <c r="P46">
        <v>1</v>
      </c>
      <c r="Q46">
        <v>3</v>
      </c>
      <c r="R46">
        <v>2</v>
      </c>
      <c r="S46" s="5">
        <f>SUM(D46:O46)</f>
      </c>
      <c r="T46" s="5">
        <f>SUM(P46:R46)</f>
      </c>
    </row>
    <row r="47">
      <c r="A47" t="str">
        <v>MT</v>
      </c>
      <c r="B47" t="str">
        <v>Vmm</v>
      </c>
      <c r="C47" t="str">
        <v>SOUTH-2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s="5">
        <f>SUM(D47:O47)</f>
      </c>
      <c r="T47" s="5">
        <f>SUM(P47:R47)</f>
      </c>
    </row>
    <row r="48">
      <c r="A48" t="str">
        <v>MT</v>
      </c>
      <c r="B48" t="str">
        <v>Vmm</v>
      </c>
      <c r="C48" t="str">
        <v>WEST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Q48">
        <v>0</v>
      </c>
      <c r="R48">
        <v>0</v>
      </c>
      <c r="S48" s="5">
        <f>SUM(D48:O48)</f>
      </c>
      <c r="T48" s="5">
        <f>SUM(P48:R48)</f>
      </c>
    </row>
    <row r="49">
      <c r="A49" t="str">
        <v>MT</v>
      </c>
      <c r="B49" t="str">
        <v>Ratandeep</v>
      </c>
      <c r="C49" t="str">
        <v>SOUTH-1</v>
      </c>
      <c r="H49">
        <v>5</v>
      </c>
      <c r="I49">
        <v>5</v>
      </c>
      <c r="J49">
        <v>3</v>
      </c>
      <c r="L49">
        <v>10</v>
      </c>
      <c r="M49">
        <v>6</v>
      </c>
      <c r="N49">
        <v>6</v>
      </c>
      <c r="O49">
        <v>3</v>
      </c>
      <c r="S49" s="5">
        <f>SUM(D49:O49)</f>
      </c>
      <c r="T49" s="5">
        <f>SUM(P49:R49)</f>
      </c>
    </row>
    <row r="50">
      <c r="A50" t="str">
        <v>MT</v>
      </c>
      <c r="B50" t="str">
        <v>Ratandeep</v>
      </c>
      <c r="C50" t="str">
        <v>SOUTH-2</v>
      </c>
      <c r="D50">
        <v>8</v>
      </c>
      <c r="E50">
        <v>10</v>
      </c>
      <c r="F50">
        <v>7</v>
      </c>
      <c r="G50">
        <v>11</v>
      </c>
      <c r="P50">
        <v>3</v>
      </c>
      <c r="Q50">
        <v>3</v>
      </c>
      <c r="R50">
        <v>3</v>
      </c>
      <c r="S50" s="5">
        <f>SUM(D50:O50)</f>
      </c>
      <c r="T50" s="5">
        <f>SUM(P50:R50)</f>
      </c>
    </row>
    <row r="51">
      <c r="A51" t="str">
        <v>MT</v>
      </c>
      <c r="B51" t="str">
        <v>V-Mart</v>
      </c>
      <c r="C51" t="str">
        <v>EAST</v>
      </c>
      <c r="D51">
        <v>2</v>
      </c>
      <c r="E51">
        <v>1</v>
      </c>
      <c r="F51">
        <v>3</v>
      </c>
      <c r="G51">
        <v>1</v>
      </c>
      <c r="H51">
        <v>2</v>
      </c>
      <c r="I51">
        <v>2</v>
      </c>
      <c r="J51">
        <v>1</v>
      </c>
      <c r="K51">
        <v>8</v>
      </c>
      <c r="L51">
        <v>13</v>
      </c>
      <c r="M51">
        <v>6</v>
      </c>
      <c r="N51">
        <v>7</v>
      </c>
      <c r="O51">
        <v>8</v>
      </c>
      <c r="P51">
        <v>6</v>
      </c>
      <c r="Q51">
        <v>4</v>
      </c>
      <c r="R51">
        <v>7</v>
      </c>
      <c r="S51" s="5">
        <f>SUM(D51:O51)</f>
      </c>
      <c r="T51" s="5">
        <f>SUM(P51:R51)</f>
      </c>
    </row>
    <row r="52">
      <c r="A52" t="str">
        <v>MT</v>
      </c>
      <c r="B52" t="str">
        <v>V-Mart</v>
      </c>
      <c r="C52" t="str">
        <v>NORTH</v>
      </c>
      <c r="K52">
        <v>12</v>
      </c>
      <c r="L52">
        <v>6</v>
      </c>
      <c r="M52">
        <v>8</v>
      </c>
      <c r="N52">
        <v>7</v>
      </c>
      <c r="O52">
        <v>7</v>
      </c>
      <c r="P52">
        <v>6</v>
      </c>
      <c r="Q52">
        <v>2</v>
      </c>
      <c r="R52">
        <v>4</v>
      </c>
      <c r="S52" s="5">
        <f>SUM(D52:O52)</f>
      </c>
      <c r="T52" s="5">
        <f>SUM(P52:R52)</f>
      </c>
    </row>
    <row r="53">
      <c r="A53" t="str">
        <v>MT</v>
      </c>
      <c r="B53" t="str">
        <v>V-Mart</v>
      </c>
      <c r="C53" t="str">
        <v>SOUTH-1</v>
      </c>
      <c r="N53">
        <v>1</v>
      </c>
      <c r="O53">
        <v>2</v>
      </c>
      <c r="P53">
        <v>3</v>
      </c>
      <c r="Q53">
        <v>2</v>
      </c>
      <c r="R53">
        <v>2</v>
      </c>
      <c r="S53" s="5">
        <f>SUM(D53:O53)</f>
      </c>
      <c r="T53" s="5">
        <f>SUM(P53:R53)</f>
      </c>
    </row>
    <row r="54">
      <c r="A54" t="str">
        <v>MT</v>
      </c>
      <c r="B54" t="str">
        <v>V-Mart</v>
      </c>
      <c r="C54" t="str">
        <v>SOUTH-2</v>
      </c>
      <c r="N54">
        <v>0</v>
      </c>
      <c r="O54">
        <v>0</v>
      </c>
      <c r="P54">
        <v>1</v>
      </c>
      <c r="Q54">
        <v>0</v>
      </c>
      <c r="R54">
        <v>0</v>
      </c>
      <c r="S54" s="5">
        <f>SUM(D54:O54)</f>
      </c>
      <c r="T54" s="5">
        <f>SUM(P54:R54)</f>
      </c>
    </row>
    <row r="55">
      <c r="A55" t="str">
        <v>MT</v>
      </c>
      <c r="B55" t="str">
        <v>V-Mart</v>
      </c>
      <c r="C55" t="str">
        <v>WEST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s="5">
        <f>SUM(D55:O55)</f>
      </c>
      <c r="T55" s="5">
        <f>SUM(P55:R55)</f>
      </c>
    </row>
    <row r="56">
      <c r="A56" t="str">
        <v>MT</v>
      </c>
      <c r="B56" t="str">
        <v>Trent</v>
      </c>
      <c r="C56" t="str">
        <v>EAST</v>
      </c>
      <c r="P56">
        <v>0</v>
      </c>
      <c r="S56" s="5">
        <f>SUM(D56:O56)</f>
      </c>
      <c r="T56" s="5">
        <f>SUM(P56:R56)</f>
      </c>
    </row>
    <row r="57">
      <c r="A57" t="str">
        <v>MT</v>
      </c>
      <c r="B57" t="str">
        <v>Trent</v>
      </c>
      <c r="C57" t="str">
        <v>NORTH</v>
      </c>
      <c r="E57">
        <v>0</v>
      </c>
      <c r="F57">
        <v>0</v>
      </c>
      <c r="G57">
        <v>0</v>
      </c>
      <c r="S57" s="5">
        <f>SUM(D57:O57)</f>
      </c>
      <c r="T57" s="5">
        <f>SUM(P57:R57)</f>
      </c>
    </row>
    <row r="58">
      <c r="A58" t="str">
        <v>MT</v>
      </c>
      <c r="B58" t="str">
        <v>Trent</v>
      </c>
      <c r="C58" t="str">
        <v>SOUTH-1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2</v>
      </c>
      <c r="S58" s="5">
        <f>SUM(D58:O58)</f>
      </c>
      <c r="T58" s="5">
        <f>SUM(P58:R58)</f>
      </c>
    </row>
    <row r="59">
      <c r="A59" t="str">
        <v>MT</v>
      </c>
      <c r="B59" t="str">
        <v>Trent</v>
      </c>
      <c r="C59" t="str">
        <v>SOUTH-2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2</v>
      </c>
      <c r="L59">
        <v>1</v>
      </c>
      <c r="M59">
        <v>2</v>
      </c>
      <c r="N59">
        <v>1</v>
      </c>
      <c r="O59">
        <v>2</v>
      </c>
      <c r="P59">
        <v>2</v>
      </c>
      <c r="Q59">
        <v>2</v>
      </c>
      <c r="R59">
        <v>2</v>
      </c>
      <c r="S59" s="5">
        <f>SUM(D59:O59)</f>
      </c>
      <c r="T59" s="5">
        <f>SUM(P59:R59)</f>
      </c>
    </row>
    <row r="60">
      <c r="A60" t="str">
        <v>MT</v>
      </c>
      <c r="B60" t="str">
        <v>Trent</v>
      </c>
      <c r="C60" t="str">
        <v>WEST</v>
      </c>
      <c r="E60">
        <v>2</v>
      </c>
      <c r="F60">
        <v>2</v>
      </c>
      <c r="G60">
        <v>2</v>
      </c>
      <c r="H60">
        <v>4</v>
      </c>
      <c r="I60">
        <v>3</v>
      </c>
      <c r="J60">
        <v>3</v>
      </c>
      <c r="K60">
        <v>3</v>
      </c>
      <c r="L60">
        <v>3</v>
      </c>
      <c r="M60">
        <v>3</v>
      </c>
      <c r="N60">
        <v>2</v>
      </c>
      <c r="O60">
        <v>3</v>
      </c>
      <c r="P60">
        <v>4</v>
      </c>
      <c r="Q60">
        <v>4</v>
      </c>
      <c r="R60">
        <v>7</v>
      </c>
      <c r="S60" s="5">
        <f>SUM(D60:O60)</f>
      </c>
      <c r="T60" s="5">
        <f>SUM(P60:R60)</f>
      </c>
    </row>
    <row r="61">
      <c r="A61" t="str">
        <v>MT</v>
      </c>
      <c r="B61" t="str">
        <v>Vijetha</v>
      </c>
      <c r="C61" t="str">
        <v>SOUTH-2</v>
      </c>
      <c r="D61">
        <v>6</v>
      </c>
      <c r="E61">
        <v>3</v>
      </c>
      <c r="F61">
        <v>4</v>
      </c>
      <c r="G61">
        <v>3</v>
      </c>
      <c r="S61" s="5">
        <f>SUM(D61:O61)</f>
      </c>
      <c r="T61" s="5">
        <f>SUM(P61:R61)</f>
      </c>
    </row>
    <row r="62">
      <c r="A62" t="str">
        <v>MT</v>
      </c>
      <c r="B62" t="str">
        <v>Frankros</v>
      </c>
      <c r="C62" t="str">
        <v>EAST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3</v>
      </c>
      <c r="L62">
        <v>3</v>
      </c>
      <c r="M62">
        <v>4</v>
      </c>
      <c r="N62">
        <v>3</v>
      </c>
      <c r="O62">
        <v>3</v>
      </c>
      <c r="P62">
        <v>4</v>
      </c>
      <c r="Q62">
        <v>10</v>
      </c>
      <c r="R62">
        <v>7</v>
      </c>
      <c r="S62" s="5">
        <f>SUM(D62:O62)</f>
      </c>
      <c r="T62" s="5">
        <f>SUM(P62:R62)</f>
      </c>
    </row>
    <row r="63">
      <c r="A63" t="str">
        <v>MT</v>
      </c>
      <c r="B63" t="str">
        <v>Frankros</v>
      </c>
      <c r="C63" t="str">
        <v>NORTH</v>
      </c>
      <c r="R63">
        <v>0</v>
      </c>
      <c r="S63" s="5">
        <f>SUM(D63:O63)</f>
      </c>
      <c r="T63" s="5">
        <f>SUM(P63:R63)</f>
      </c>
    </row>
    <row r="64">
      <c r="A64" t="str">
        <v>MT</v>
      </c>
      <c r="B64" t="str">
        <v>Frankros</v>
      </c>
      <c r="C64" t="str">
        <v>SOUTH-1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 s="5">
        <f>SUM(D64:O64)</f>
      </c>
      <c r="T64" s="5">
        <f>SUM(P64:R64)</f>
      </c>
    </row>
    <row r="65">
      <c r="A65" t="str">
        <v>MT</v>
      </c>
      <c r="B65" t="str">
        <v>Frankros</v>
      </c>
      <c r="C65" t="str">
        <v>SOUTH-2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S65" s="5">
        <f>SUM(D65:O65)</f>
      </c>
      <c r="T65" s="5">
        <f>SUM(P65:R65)</f>
      </c>
    </row>
    <row r="66">
      <c r="A66" t="str">
        <v>MT</v>
      </c>
      <c r="B66" t="str">
        <v>Frankros</v>
      </c>
      <c r="C66" t="str">
        <v>WEST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s="5">
        <f>SUM(D66:O66)</f>
      </c>
      <c r="T66" s="5">
        <f>SUM(P66:R66)</f>
      </c>
    </row>
    <row r="67">
      <c r="A67" t="str">
        <v>MT</v>
      </c>
      <c r="B67" t="str">
        <v>Arambagh</v>
      </c>
      <c r="C67" t="str">
        <v>EAST</v>
      </c>
      <c r="D67">
        <v>1</v>
      </c>
      <c r="E67">
        <v>1</v>
      </c>
      <c r="F67">
        <v>1</v>
      </c>
      <c r="G67">
        <v>1</v>
      </c>
      <c r="H67">
        <v>1</v>
      </c>
      <c r="I67">
        <v>3</v>
      </c>
      <c r="J67">
        <v>3</v>
      </c>
      <c r="K67">
        <v>1</v>
      </c>
      <c r="L67">
        <v>2</v>
      </c>
      <c r="M67">
        <v>2</v>
      </c>
      <c r="N67">
        <v>2</v>
      </c>
      <c r="O67">
        <v>3</v>
      </c>
      <c r="P67">
        <v>7</v>
      </c>
      <c r="Q67">
        <v>5</v>
      </c>
      <c r="R67">
        <v>5</v>
      </c>
      <c r="S67" s="5">
        <f>SUM(D67:O67)</f>
      </c>
      <c r="T67" s="5">
        <f>SUM(P67:R67)</f>
      </c>
    </row>
    <row r="68">
      <c r="A68" t="str">
        <v>MT</v>
      </c>
      <c r="B68" t="str">
        <v>Guardian</v>
      </c>
      <c r="C68" t="str">
        <v>EAST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Q68">
        <v>0</v>
      </c>
      <c r="R68">
        <v>0</v>
      </c>
      <c r="S68" s="5">
        <f>SUM(D68:O68)</f>
      </c>
      <c r="T68" s="5">
        <f>SUM(P68:R68)</f>
      </c>
    </row>
    <row r="69">
      <c r="A69" t="str">
        <v>MT</v>
      </c>
      <c r="B69" t="str">
        <v>Guardian</v>
      </c>
      <c r="C69" t="str">
        <v>NORTH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1</v>
      </c>
      <c r="N69">
        <v>2</v>
      </c>
      <c r="O69">
        <v>2</v>
      </c>
      <c r="P69">
        <v>2</v>
      </c>
      <c r="Q69">
        <v>2</v>
      </c>
      <c r="R69">
        <v>2</v>
      </c>
      <c r="S69" s="5">
        <f>SUM(D69:O69)</f>
      </c>
      <c r="T69" s="5">
        <f>SUM(P69:R69)</f>
      </c>
    </row>
    <row r="70">
      <c r="A70" t="str">
        <v>MT</v>
      </c>
      <c r="B70" t="str">
        <v>Guardian</v>
      </c>
      <c r="C70" t="str">
        <v>SOUTH-1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Q70">
        <v>0</v>
      </c>
      <c r="R70">
        <v>0</v>
      </c>
      <c r="S70" s="5">
        <f>SUM(D70:O70)</f>
      </c>
      <c r="T70" s="5">
        <f>SUM(P70:R70)</f>
      </c>
    </row>
    <row r="71">
      <c r="A71" t="str">
        <v>MT</v>
      </c>
      <c r="B71" t="str">
        <v>Guardian</v>
      </c>
      <c r="C71" t="str">
        <v>SOUTH-2</v>
      </c>
      <c r="N71">
        <v>0</v>
      </c>
      <c r="Q71">
        <v>0</v>
      </c>
      <c r="R71">
        <v>0</v>
      </c>
      <c r="S71" s="5">
        <f>SUM(D71:O71)</f>
      </c>
      <c r="T71" s="5">
        <f>SUM(P71:R71)</f>
      </c>
    </row>
    <row r="72">
      <c r="A72" t="str">
        <v>MT</v>
      </c>
      <c r="B72" t="str">
        <v>Guardian</v>
      </c>
      <c r="C72" t="str">
        <v>WEST</v>
      </c>
      <c r="E72">
        <v>0</v>
      </c>
      <c r="G72">
        <v>0</v>
      </c>
      <c r="J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s="5">
        <f>SUM(D72:O72)</f>
      </c>
      <c r="T72" s="5">
        <f>SUM(P72:R72)</f>
      </c>
    </row>
    <row r="73">
      <c r="A73" t="str">
        <v>MT</v>
      </c>
      <c r="B73" t="str">
        <v>Wh-Smith</v>
      </c>
      <c r="C73" t="str">
        <v>EAST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s="5">
        <f>SUM(D73:O73)</f>
      </c>
      <c r="T73" s="5">
        <f>SUM(P73:R73)</f>
      </c>
    </row>
    <row r="74">
      <c r="A74" t="str">
        <v>MT</v>
      </c>
      <c r="B74" t="str">
        <v>Wh-Smith</v>
      </c>
      <c r="C74" t="str">
        <v>NORTH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s="5">
        <f>SUM(D74:O74)</f>
      </c>
      <c r="T74" s="5">
        <f>SUM(P74:R74)</f>
      </c>
    </row>
    <row r="75">
      <c r="A75" t="str">
        <v>MT</v>
      </c>
      <c r="B75" t="str">
        <v>Wh-Smith</v>
      </c>
      <c r="C75" t="str">
        <v>SOUTH-1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s="5">
        <f>SUM(D75:O75)</f>
      </c>
      <c r="T75" s="5">
        <f>SUM(P75:R75)</f>
      </c>
    </row>
    <row r="76">
      <c r="A76" t="str">
        <v>MT</v>
      </c>
      <c r="B76" t="str">
        <v>Wh-Smith</v>
      </c>
      <c r="C76" t="str">
        <v>SOUTH-2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S76" s="5">
        <f>SUM(D76:O76)</f>
      </c>
      <c r="T76" s="5">
        <f>SUM(P76:R76)</f>
      </c>
    </row>
    <row r="77">
      <c r="A77" t="str">
        <v>MT</v>
      </c>
      <c r="B77" t="str">
        <v>Wh-Smith</v>
      </c>
      <c r="C77" t="str">
        <v>WEST</v>
      </c>
      <c r="N77">
        <v>0</v>
      </c>
      <c r="O77">
        <v>0</v>
      </c>
      <c r="P77">
        <v>0</v>
      </c>
      <c r="Q77">
        <v>0</v>
      </c>
      <c r="R77">
        <v>0</v>
      </c>
      <c r="S77" s="5">
        <f>SUM(D77:O77)</f>
      </c>
      <c r="T77" s="5">
        <f>SUM(P77:R77)</f>
      </c>
    </row>
    <row r="78">
      <c r="A78" t="str">
        <v>MT</v>
      </c>
      <c r="B78" t="str">
        <v>BEAUTY &amp; NUTRIE</v>
      </c>
      <c r="C78" t="str">
        <v>SOUTH-1</v>
      </c>
      <c r="D78">
        <v>1</v>
      </c>
      <c r="E78">
        <v>1</v>
      </c>
      <c r="F78">
        <v>0</v>
      </c>
      <c r="G78">
        <v>0</v>
      </c>
      <c r="H78">
        <v>1</v>
      </c>
      <c r="I78">
        <v>0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0</v>
      </c>
      <c r="Q78">
        <v>0</v>
      </c>
      <c r="R78">
        <v>0</v>
      </c>
      <c r="S78" s="5">
        <f>SUM(D78:O78)</f>
      </c>
      <c r="T78" s="5">
        <f>SUM(P78:R78)</f>
      </c>
    </row>
    <row r="79">
      <c r="A79" t="str">
        <v>MT</v>
      </c>
      <c r="B79" t="str">
        <v>BEAUTY &amp; NUTRIE</v>
      </c>
      <c r="C79" t="str">
        <v>SOUTH-2</v>
      </c>
      <c r="D79">
        <v>1</v>
      </c>
      <c r="E79">
        <v>0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>
        <v>1</v>
      </c>
      <c r="O79">
        <v>1</v>
      </c>
      <c r="P79">
        <v>1</v>
      </c>
      <c r="Q79">
        <v>0</v>
      </c>
      <c r="R79">
        <v>1</v>
      </c>
      <c r="S79" s="5">
        <f>SUM(D79:O79)</f>
      </c>
      <c r="T79" s="5">
        <f>SUM(P79:R79)</f>
      </c>
    </row>
    <row r="80">
      <c r="A80" t="str">
        <v>MT</v>
      </c>
      <c r="B80" t="str">
        <v>National Mart</v>
      </c>
      <c r="C80" t="str">
        <v>SOUTH-2</v>
      </c>
      <c r="P80">
        <v>2</v>
      </c>
      <c r="Q80">
        <v>2</v>
      </c>
      <c r="R80">
        <v>4</v>
      </c>
      <c r="S80" s="5">
        <f>SUM(D80:O80)</f>
      </c>
      <c r="T80" s="5">
        <f>SUM(P80:R80)</f>
      </c>
    </row>
    <row r="81">
      <c r="A81" t="str">
        <v>MT</v>
      </c>
      <c r="B81" t="str">
        <v>Sasta Sundar</v>
      </c>
      <c r="C81" t="str">
        <v>EAST</v>
      </c>
      <c r="F81">
        <v>0</v>
      </c>
      <c r="G81">
        <v>0</v>
      </c>
      <c r="H81">
        <v>1</v>
      </c>
      <c r="I81">
        <v>1</v>
      </c>
      <c r="J81">
        <v>1</v>
      </c>
      <c r="K81">
        <v>1</v>
      </c>
      <c r="L81">
        <v>0</v>
      </c>
      <c r="M81">
        <v>0</v>
      </c>
      <c r="N81">
        <v>1</v>
      </c>
      <c r="O81">
        <v>1</v>
      </c>
      <c r="P81">
        <v>1</v>
      </c>
      <c r="Q81">
        <v>1</v>
      </c>
      <c r="R81">
        <v>1</v>
      </c>
      <c r="S81" s="5">
        <f>SUM(D81:O81)</f>
      </c>
      <c r="T81" s="5">
        <f>SUM(P81:R81)</f>
      </c>
    </row>
    <row r="82">
      <c r="A82" t="str">
        <v>MT</v>
      </c>
      <c r="B82" t="str">
        <v>Sumo Save</v>
      </c>
      <c r="C82" t="str">
        <v>EAST</v>
      </c>
      <c r="O82">
        <v>0</v>
      </c>
      <c r="P82">
        <v>1</v>
      </c>
      <c r="Q82">
        <v>2</v>
      </c>
      <c r="R82">
        <v>1</v>
      </c>
      <c r="S82" s="5">
        <f>SUM(D82:O82)</f>
      </c>
      <c r="T82" s="5">
        <f>SUM(P82:R82)</f>
      </c>
    </row>
    <row r="83">
      <c r="A83" t="str">
        <v>MT</v>
      </c>
      <c r="B83" t="str">
        <v>Apna Mart</v>
      </c>
      <c r="C83" t="str">
        <v>EAST</v>
      </c>
      <c r="P83">
        <v>3</v>
      </c>
      <c r="S83" s="5">
        <f>SUM(D83:O83)</f>
      </c>
      <c r="T83" s="5">
        <f>SUM(P83:R83)</f>
      </c>
    </row>
  </sheetData>
  <ignoredErrors>
    <ignoredError numberStoredAsText="1" sqref="A1:T8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U229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9.83203125" customWidth="1"/>
    <col min="20" max="20" width="11.83203125" customWidth="1"/>
    <col min="21" max="21" width="13.83203125" customWidth="1"/>
  </cols>
  <sheetData>
    <row r="1">
      <c r="A1" t="str">
        <v>Channel</v>
      </c>
      <c r="B1" t="str">
        <v>Brand</v>
      </c>
      <c r="C1" t="str">
        <v>SubCat</v>
      </c>
      <c r="D1" t="str">
        <v>Zone</v>
      </c>
      <c r="E1" t="str">
        <v>Apr-25</v>
      </c>
      <c r="F1" t="str">
        <v>May-25</v>
      </c>
      <c r="G1" t="str">
        <v>Jun-25</v>
      </c>
      <c r="H1" t="str">
        <v>Jul-25</v>
      </c>
      <c r="I1" t="str">
        <v>Aug-25</v>
      </c>
      <c r="J1" t="str">
        <v>Sep-25</v>
      </c>
      <c r="K1" t="str">
        <v>Oct-25</v>
      </c>
      <c r="L1" t="str">
        <v>Nov-25</v>
      </c>
      <c r="M1" t="str">
        <v>Dec-25</v>
      </c>
      <c r="N1" t="str">
        <v>Jan-26</v>
      </c>
      <c r="O1" t="str">
        <v>Feb-26</v>
      </c>
      <c r="P1" t="str">
        <v>Mar-26</v>
      </c>
      <c r="Q1" t="str">
        <v>Apr-26</v>
      </c>
      <c r="R1" t="str">
        <v>May-26</v>
      </c>
      <c r="S1" t="str">
        <v>Jun-26</v>
      </c>
      <c r="T1" t="str">
        <v>FY26 Total</v>
      </c>
      <c r="U1" t="str">
        <v>Q1 FY27 (Apr-Jun26)</v>
      </c>
    </row>
    <row r="2">
      <c r="A2" t="str">
        <v>EB2B</v>
      </c>
      <c r="B2" t="str">
        <v>Mamaearth</v>
      </c>
      <c r="C2" t="str">
        <v>Face Cleanser</v>
      </c>
      <c r="D2" t="str">
        <v>Pan India</v>
      </c>
      <c r="E2">
        <v>68</v>
      </c>
      <c r="F2">
        <v>70</v>
      </c>
      <c r="G2">
        <v>74</v>
      </c>
      <c r="H2">
        <v>93</v>
      </c>
      <c r="I2">
        <v>73</v>
      </c>
      <c r="J2">
        <v>68</v>
      </c>
      <c r="K2">
        <v>63</v>
      </c>
      <c r="L2">
        <v>74</v>
      </c>
      <c r="M2">
        <v>68</v>
      </c>
      <c r="N2">
        <v>71</v>
      </c>
      <c r="O2">
        <v>74</v>
      </c>
      <c r="P2">
        <v>73</v>
      </c>
      <c r="Q2">
        <v>93</v>
      </c>
      <c r="R2">
        <v>96</v>
      </c>
      <c r="S2">
        <v>108</v>
      </c>
      <c r="T2" s="5">
        <f>SUM(E2:P2)</f>
      </c>
      <c r="U2" s="5">
        <f>SUM(Q2:S2)</f>
      </c>
    </row>
    <row r="3">
      <c r="A3" t="str">
        <v>EB2B</v>
      </c>
      <c r="B3" t="str">
        <v>Mamaearth</v>
      </c>
      <c r="C3" t="str">
        <v>Sun Care</v>
      </c>
      <c r="D3" t="str">
        <v>Pan India</v>
      </c>
      <c r="E3">
        <v>24</v>
      </c>
      <c r="F3">
        <v>22</v>
      </c>
      <c r="G3">
        <v>16</v>
      </c>
      <c r="H3">
        <v>14</v>
      </c>
      <c r="I3">
        <v>10</v>
      </c>
      <c r="J3">
        <v>9</v>
      </c>
      <c r="K3">
        <v>9</v>
      </c>
      <c r="L3">
        <v>10</v>
      </c>
      <c r="M3">
        <v>10</v>
      </c>
      <c r="N3">
        <v>12</v>
      </c>
      <c r="O3">
        <v>19</v>
      </c>
      <c r="P3">
        <v>26</v>
      </c>
      <c r="Q3">
        <v>37</v>
      </c>
      <c r="R3">
        <v>29</v>
      </c>
      <c r="S3">
        <v>24</v>
      </c>
      <c r="T3" s="5">
        <f>SUM(E3:P3)</f>
      </c>
      <c r="U3" s="5">
        <f>SUM(Q3:S3)</f>
      </c>
    </row>
    <row r="4">
      <c r="A4" t="str">
        <v>EB2B</v>
      </c>
      <c r="B4" t="str">
        <v>Mamaearth</v>
      </c>
      <c r="C4" t="str">
        <v>Shampoo</v>
      </c>
      <c r="D4" t="str">
        <v>Pan India</v>
      </c>
      <c r="E4">
        <v>14</v>
      </c>
      <c r="F4">
        <v>14</v>
      </c>
      <c r="G4">
        <v>15</v>
      </c>
      <c r="H4">
        <v>18</v>
      </c>
      <c r="I4">
        <v>15</v>
      </c>
      <c r="J4">
        <v>14</v>
      </c>
      <c r="K4">
        <v>13</v>
      </c>
      <c r="L4">
        <v>14</v>
      </c>
      <c r="M4">
        <v>13</v>
      </c>
      <c r="N4">
        <v>12</v>
      </c>
      <c r="O4">
        <v>11</v>
      </c>
      <c r="P4">
        <v>11</v>
      </c>
      <c r="Q4">
        <v>14</v>
      </c>
      <c r="R4">
        <v>13</v>
      </c>
      <c r="S4">
        <v>16</v>
      </c>
      <c r="T4" s="5">
        <f>SUM(E4:P4)</f>
      </c>
      <c r="U4" s="5">
        <f>SUM(Q4:S4)</f>
      </c>
    </row>
    <row r="5">
      <c r="A5" t="str">
        <v>EB2B</v>
      </c>
      <c r="B5" t="str">
        <v>Mamaearth</v>
      </c>
      <c r="C5" t="str">
        <v>Moisturisers</v>
      </c>
      <c r="D5" t="str">
        <v>Pan India</v>
      </c>
      <c r="E5">
        <v>8</v>
      </c>
      <c r="F5">
        <v>6</v>
      </c>
      <c r="G5">
        <v>5</v>
      </c>
      <c r="H5">
        <v>5</v>
      </c>
      <c r="I5">
        <v>4</v>
      </c>
      <c r="J5">
        <v>6</v>
      </c>
      <c r="K5">
        <v>8</v>
      </c>
      <c r="L5">
        <v>11</v>
      </c>
      <c r="M5">
        <v>10</v>
      </c>
      <c r="N5">
        <v>7</v>
      </c>
      <c r="O5">
        <v>7</v>
      </c>
      <c r="P5">
        <v>8</v>
      </c>
      <c r="Q5">
        <v>8</v>
      </c>
      <c r="R5">
        <v>7</v>
      </c>
      <c r="S5">
        <v>8</v>
      </c>
      <c r="T5" s="5">
        <f>SUM(E5:P5)</f>
      </c>
      <c r="U5" s="5">
        <f>SUM(Q5:S5)</f>
      </c>
    </row>
    <row r="6">
      <c r="A6" t="str">
        <v>EB2B</v>
      </c>
      <c r="B6" t="str">
        <v>Mamaearth</v>
      </c>
      <c r="C6" t="str">
        <v>Hair Oil</v>
      </c>
      <c r="D6" t="str">
        <v>Pan India</v>
      </c>
      <c r="E6">
        <v>6</v>
      </c>
      <c r="F6">
        <v>5</v>
      </c>
      <c r="G6">
        <v>6</v>
      </c>
      <c r="H6">
        <v>8</v>
      </c>
      <c r="I6">
        <v>7</v>
      </c>
      <c r="J6">
        <v>6</v>
      </c>
      <c r="K6">
        <v>6</v>
      </c>
      <c r="L6">
        <v>6</v>
      </c>
      <c r="M6">
        <v>7</v>
      </c>
      <c r="N6">
        <v>6</v>
      </c>
      <c r="O6">
        <v>5</v>
      </c>
      <c r="P6">
        <v>5</v>
      </c>
      <c r="Q6">
        <v>5</v>
      </c>
      <c r="R6">
        <v>5</v>
      </c>
      <c r="S6">
        <v>6</v>
      </c>
      <c r="T6" s="5">
        <f>SUM(E6:P6)</f>
      </c>
      <c r="U6" s="5">
        <f>SUM(Q6:S6)</f>
      </c>
    </row>
    <row r="7">
      <c r="A7" t="str">
        <v>EB2B</v>
      </c>
      <c r="B7" t="str">
        <v>Mamaearth</v>
      </c>
      <c r="C7" t="str">
        <v>Baby Soap</v>
      </c>
      <c r="D7" t="str">
        <v>Pan India</v>
      </c>
      <c r="E7">
        <v>4</v>
      </c>
      <c r="F7">
        <v>4</v>
      </c>
      <c r="G7">
        <v>4</v>
      </c>
      <c r="H7">
        <v>4</v>
      </c>
      <c r="I7">
        <v>3</v>
      </c>
      <c r="J7">
        <v>3</v>
      </c>
      <c r="K7">
        <v>3</v>
      </c>
      <c r="L7">
        <v>3</v>
      </c>
      <c r="M7">
        <v>2</v>
      </c>
      <c r="N7">
        <v>2</v>
      </c>
      <c r="O7">
        <v>2</v>
      </c>
      <c r="P7">
        <v>2</v>
      </c>
      <c r="Q7">
        <v>3</v>
      </c>
      <c r="R7">
        <v>3</v>
      </c>
      <c r="S7">
        <v>3</v>
      </c>
      <c r="T7" s="5">
        <f>SUM(E7:P7)</f>
      </c>
      <c r="U7" s="5">
        <f>SUM(Q7:S7)</f>
      </c>
    </row>
    <row r="8">
      <c r="A8" t="str">
        <v>EB2B</v>
      </c>
      <c r="B8" t="str">
        <v>Mamaearth</v>
      </c>
      <c r="C8" t="str">
        <v>Face Cream</v>
      </c>
      <c r="D8" t="str">
        <v>Pan India</v>
      </c>
      <c r="E8">
        <v>4</v>
      </c>
      <c r="F8">
        <v>3</v>
      </c>
      <c r="G8">
        <v>4</v>
      </c>
      <c r="H8">
        <v>4</v>
      </c>
      <c r="I8">
        <v>3</v>
      </c>
      <c r="J8">
        <v>3</v>
      </c>
      <c r="K8">
        <v>3</v>
      </c>
      <c r="L8">
        <v>3</v>
      </c>
      <c r="M8">
        <v>2</v>
      </c>
      <c r="N8">
        <v>3</v>
      </c>
      <c r="O8">
        <v>1</v>
      </c>
      <c r="P8">
        <v>2</v>
      </c>
      <c r="Q8">
        <v>3</v>
      </c>
      <c r="R8">
        <v>1</v>
      </c>
      <c r="S8">
        <v>2</v>
      </c>
      <c r="T8" s="5">
        <f>SUM(E8:P8)</f>
      </c>
      <c r="U8" s="5">
        <f>SUM(Q8:S8)</f>
      </c>
    </row>
    <row r="9">
      <c r="A9" t="str">
        <v>EB2B</v>
      </c>
      <c r="B9" t="str">
        <v>Mamaearth</v>
      </c>
      <c r="C9" t="str">
        <v>Oral</v>
      </c>
      <c r="D9" t="str">
        <v>Pan India</v>
      </c>
      <c r="E9">
        <v>2</v>
      </c>
      <c r="F9">
        <v>2</v>
      </c>
      <c r="G9">
        <v>2</v>
      </c>
      <c r="H9">
        <v>2</v>
      </c>
      <c r="I9">
        <v>1</v>
      </c>
      <c r="J9">
        <v>1</v>
      </c>
      <c r="K9">
        <v>1</v>
      </c>
      <c r="L9">
        <v>2</v>
      </c>
      <c r="M9">
        <v>1</v>
      </c>
      <c r="N9">
        <v>1</v>
      </c>
      <c r="O9">
        <v>1</v>
      </c>
      <c r="P9">
        <v>1</v>
      </c>
      <c r="Q9">
        <v>2</v>
      </c>
      <c r="R9">
        <v>2</v>
      </c>
      <c r="S9">
        <v>2</v>
      </c>
      <c r="T9" s="5">
        <f>SUM(E9:P9)</f>
      </c>
      <c r="U9" s="5">
        <f>SUM(Q9:S9)</f>
      </c>
    </row>
    <row r="10">
      <c r="A10" t="str">
        <v>EB2B</v>
      </c>
      <c r="B10" t="str">
        <v>Mamaearth</v>
      </c>
      <c r="C10" t="str">
        <v>Conditioner</v>
      </c>
      <c r="D10" t="str">
        <v>Pan India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1</v>
      </c>
      <c r="N10">
        <v>1</v>
      </c>
      <c r="O10">
        <v>1</v>
      </c>
      <c r="P10">
        <v>1</v>
      </c>
      <c r="Q10">
        <v>2</v>
      </c>
      <c r="R10">
        <v>2</v>
      </c>
      <c r="S10">
        <v>2</v>
      </c>
      <c r="T10" s="5">
        <f>SUM(E10:P10)</f>
      </c>
      <c r="U10" s="5">
        <f>SUM(Q10:S10)</f>
      </c>
    </row>
    <row r="11">
      <c r="A11" t="str">
        <v>EB2B</v>
      </c>
      <c r="B11" t="str">
        <v>Mamaearth</v>
      </c>
      <c r="C11" t="str">
        <v>Face Scrub</v>
      </c>
      <c r="D11" t="str">
        <v>Pan India</v>
      </c>
      <c r="E11">
        <v>2</v>
      </c>
      <c r="F11">
        <v>1</v>
      </c>
      <c r="G11">
        <v>2</v>
      </c>
      <c r="H11">
        <v>2</v>
      </c>
      <c r="I11">
        <v>2</v>
      </c>
      <c r="J11">
        <v>2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 s="5">
        <f>SUM(E11:P11)</f>
      </c>
      <c r="U11" s="5">
        <f>SUM(Q11:S11)</f>
      </c>
    </row>
    <row r="12">
      <c r="A12" t="str">
        <v>EB2B</v>
      </c>
      <c r="B12" t="str">
        <v>Mamaearth</v>
      </c>
      <c r="C12" t="str">
        <v>Dusting Powder</v>
      </c>
      <c r="D12" t="str">
        <v>Pan India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 s="5">
        <f>SUM(E12:P12)</f>
      </c>
      <c r="U12" s="5">
        <f>SUM(Q12:S12)</f>
      </c>
    </row>
    <row r="13">
      <c r="A13" t="str">
        <v>EB2B</v>
      </c>
      <c r="B13" t="str">
        <v>Mamaearth</v>
      </c>
      <c r="C13" t="str">
        <v>Baby Body Wash</v>
      </c>
      <c r="D13" t="str">
        <v>Pan India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 s="5">
        <f>SUM(E13:P13)</f>
      </c>
      <c r="U13" s="5">
        <f>SUM(Q13:S13)</f>
      </c>
    </row>
    <row r="14">
      <c r="A14" t="str">
        <v>EB2B</v>
      </c>
      <c r="B14" t="str">
        <v>Mamaearth</v>
      </c>
      <c r="C14" t="str">
        <v>Body Gel</v>
      </c>
      <c r="D14" t="str">
        <v>Pan India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 s="5">
        <f>SUM(E14:P14)</f>
      </c>
      <c r="U14" s="5">
        <f>SUM(Q14:S14)</f>
      </c>
    </row>
    <row r="15">
      <c r="A15" t="str">
        <v>EB2B</v>
      </c>
      <c r="B15" t="str">
        <v>Mamaearth</v>
      </c>
      <c r="C15" t="str">
        <v>Face Serum</v>
      </c>
      <c r="D15" t="str">
        <v>Pan India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0</v>
      </c>
      <c r="P15">
        <v>1</v>
      </c>
      <c r="Q15">
        <v>1</v>
      </c>
      <c r="R15">
        <v>1</v>
      </c>
      <c r="S15">
        <v>0</v>
      </c>
      <c r="T15" s="5">
        <f>SUM(E15:P15)</f>
      </c>
      <c r="U15" s="5">
        <f>SUM(Q15:S15)</f>
      </c>
    </row>
    <row r="16">
      <c r="A16" t="str">
        <v>EB2B</v>
      </c>
      <c r="B16" t="str">
        <v>Mamaearth</v>
      </c>
      <c r="C16" t="str">
        <v>Facial Kit</v>
      </c>
      <c r="D16" t="str">
        <v>Pan India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 s="5">
        <f>SUM(E16:P16)</f>
      </c>
      <c r="U16" s="5">
        <f>SUM(Q16:S16)</f>
      </c>
    </row>
    <row r="17">
      <c r="A17" t="str">
        <v>EB2B</v>
      </c>
      <c r="B17" t="str">
        <v>Mamaearth</v>
      </c>
      <c r="C17" t="str">
        <v>Lipstick</v>
      </c>
      <c r="D17" t="str">
        <v>Pan India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s="5">
        <f>SUM(E17:P17)</f>
      </c>
      <c r="U17" s="5">
        <f>SUM(Q17:S17)</f>
      </c>
    </row>
    <row r="18">
      <c r="A18" t="str">
        <v>EB2B</v>
      </c>
      <c r="B18" t="str">
        <v>Mamaearth</v>
      </c>
      <c r="C18" t="str">
        <v>Hair Serum</v>
      </c>
      <c r="D18" t="str">
        <v>Pan India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s="5">
        <f>SUM(E18:P18)</f>
      </c>
      <c r="U18" s="5">
        <f>SUM(Q18:S18)</f>
      </c>
    </row>
    <row r="19">
      <c r="A19" t="str">
        <v>EB2B</v>
      </c>
      <c r="B19" t="str">
        <v>Mamaearth</v>
      </c>
      <c r="C19" t="str">
        <v>Foundation</v>
      </c>
      <c r="D19" t="str">
        <v>Pan India</v>
      </c>
      <c r="E19">
        <v>2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2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 s="5">
        <f>SUM(E19:P19)</f>
      </c>
      <c r="U19" s="5">
        <f>SUM(Q19:S19)</f>
      </c>
    </row>
    <row r="20">
      <c r="A20" t="str">
        <v>EB2B</v>
      </c>
      <c r="B20" t="str">
        <v>Mamaearth</v>
      </c>
      <c r="C20" t="str">
        <v>Body Lotion</v>
      </c>
      <c r="D20" t="str">
        <v>Pan India</v>
      </c>
      <c r="E20">
        <v>2</v>
      </c>
      <c r="F20">
        <v>1</v>
      </c>
      <c r="G20">
        <v>1</v>
      </c>
      <c r="H20">
        <v>1</v>
      </c>
      <c r="I20">
        <v>1</v>
      </c>
      <c r="J20">
        <v>2</v>
      </c>
      <c r="K20">
        <v>6</v>
      </c>
      <c r="L20">
        <v>9</v>
      </c>
      <c r="M20">
        <v>4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 s="5">
        <f>SUM(E20:P20)</f>
      </c>
      <c r="U20" s="5">
        <f>SUM(Q20:S20)</f>
      </c>
    </row>
    <row r="21">
      <c r="A21" t="str">
        <v>EB2B</v>
      </c>
      <c r="B21" t="str">
        <v>Mamaearth</v>
      </c>
      <c r="C21" t="str">
        <v>Face Masks</v>
      </c>
      <c r="D21" t="str">
        <v>Pan India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5">
        <f>SUM(E21:P21)</f>
      </c>
      <c r="U21" s="5">
        <f>SUM(Q21:S21)</f>
      </c>
    </row>
    <row r="22">
      <c r="A22" t="str">
        <v>EB2B</v>
      </c>
      <c r="B22" t="str">
        <v>Mamaearth</v>
      </c>
      <c r="C22" t="str">
        <v>Lip Balm</v>
      </c>
      <c r="D22" t="str">
        <v>Pan India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3</v>
      </c>
      <c r="L22">
        <v>7</v>
      </c>
      <c r="M22">
        <v>4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 s="5">
        <f>SUM(E22:P22)</f>
      </c>
      <c r="U22" s="5">
        <f>SUM(Q22:S22)</f>
      </c>
    </row>
    <row r="23">
      <c r="A23" t="str">
        <v>EB2B</v>
      </c>
      <c r="B23" t="str">
        <v>Mamaearth</v>
      </c>
      <c r="C23" t="str">
        <v>Compact</v>
      </c>
      <c r="D23" t="str">
        <v>Pan India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s="5">
        <f>SUM(E23:P23)</f>
      </c>
      <c r="U23" s="5">
        <f>SUM(Q23:S23)</f>
      </c>
    </row>
    <row r="24">
      <c r="A24" t="str">
        <v>EB2B</v>
      </c>
      <c r="B24" t="str">
        <v>Mamaearth</v>
      </c>
      <c r="C24" t="str">
        <v>Soap</v>
      </c>
      <c r="D24" t="str">
        <v>Pan India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T24" s="5">
        <f>SUM(E24:P24)</f>
      </c>
      <c r="U24" s="5">
        <f>SUM(Q24:S24)</f>
      </c>
    </row>
    <row r="25">
      <c r="A25" t="str">
        <v>EB2B</v>
      </c>
      <c r="B25" t="str">
        <v>The Derma Co.</v>
      </c>
      <c r="C25" t="str">
        <v>Face Cleanser</v>
      </c>
      <c r="D25" t="str">
        <v>Pan India</v>
      </c>
      <c r="E25">
        <v>4</v>
      </c>
      <c r="F25">
        <v>4</v>
      </c>
      <c r="G25">
        <v>3</v>
      </c>
      <c r="H25">
        <v>5</v>
      </c>
      <c r="I25">
        <v>5</v>
      </c>
      <c r="J25">
        <v>6</v>
      </c>
      <c r="K25">
        <v>7</v>
      </c>
      <c r="L25">
        <v>8</v>
      </c>
      <c r="M25">
        <v>8</v>
      </c>
      <c r="N25">
        <v>10</v>
      </c>
      <c r="O25">
        <v>10</v>
      </c>
      <c r="P25">
        <v>10</v>
      </c>
      <c r="Q25">
        <v>15</v>
      </c>
      <c r="R25">
        <v>14</v>
      </c>
      <c r="S25">
        <v>16</v>
      </c>
      <c r="T25" s="5">
        <f>SUM(E25:P25)</f>
      </c>
      <c r="U25" s="5">
        <f>SUM(Q25:S25)</f>
      </c>
    </row>
    <row r="26">
      <c r="A26" t="str">
        <v>EB2B</v>
      </c>
      <c r="B26" t="str">
        <v>The Derma Co.</v>
      </c>
      <c r="C26" t="str">
        <v>Face Serum</v>
      </c>
      <c r="D26" t="str">
        <v>Pan India</v>
      </c>
      <c r="E26">
        <v>11</v>
      </c>
      <c r="F26">
        <v>9</v>
      </c>
      <c r="G26">
        <v>9</v>
      </c>
      <c r="H26">
        <v>10</v>
      </c>
      <c r="I26">
        <v>10</v>
      </c>
      <c r="J26">
        <v>8</v>
      </c>
      <c r="K26">
        <v>10</v>
      </c>
      <c r="L26">
        <v>11</v>
      </c>
      <c r="M26">
        <v>17</v>
      </c>
      <c r="N26">
        <v>11</v>
      </c>
      <c r="O26">
        <v>10</v>
      </c>
      <c r="P26">
        <v>9</v>
      </c>
      <c r="Q26">
        <v>13</v>
      </c>
      <c r="R26">
        <v>10</v>
      </c>
      <c r="S26">
        <v>9</v>
      </c>
      <c r="T26" s="5">
        <f>SUM(E26:P26)</f>
      </c>
      <c r="U26" s="5">
        <f>SUM(Q26:S26)</f>
      </c>
    </row>
    <row r="27">
      <c r="A27" t="str">
        <v>EB2B</v>
      </c>
      <c r="B27" t="str">
        <v>The Derma Co.</v>
      </c>
      <c r="C27" t="str">
        <v>Sun Care</v>
      </c>
      <c r="D27" t="str">
        <v>Pan India</v>
      </c>
      <c r="E27">
        <v>12</v>
      </c>
      <c r="F27">
        <v>10</v>
      </c>
      <c r="G27">
        <v>7</v>
      </c>
      <c r="H27">
        <v>6</v>
      </c>
      <c r="I27">
        <v>6</v>
      </c>
      <c r="J27">
        <v>5</v>
      </c>
      <c r="K27">
        <v>6</v>
      </c>
      <c r="L27">
        <v>7</v>
      </c>
      <c r="M27">
        <v>4</v>
      </c>
      <c r="N27">
        <v>8</v>
      </c>
      <c r="O27">
        <v>9</v>
      </c>
      <c r="P27">
        <v>10</v>
      </c>
      <c r="Q27">
        <v>16</v>
      </c>
      <c r="R27">
        <v>12</v>
      </c>
      <c r="S27">
        <v>9</v>
      </c>
      <c r="T27" s="5">
        <f>SUM(E27:P27)</f>
      </c>
      <c r="U27" s="5">
        <f>SUM(Q27:S27)</f>
      </c>
    </row>
    <row r="28">
      <c r="A28" t="str">
        <v>EB2B</v>
      </c>
      <c r="B28" t="str">
        <v>The Derma Co.</v>
      </c>
      <c r="C28" t="str">
        <v>Cream</v>
      </c>
      <c r="D28" t="str">
        <v>Pan India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0</v>
      </c>
      <c r="L28">
        <v>1</v>
      </c>
      <c r="N28">
        <v>1</v>
      </c>
      <c r="O28">
        <v>1</v>
      </c>
      <c r="P28">
        <v>0</v>
      </c>
      <c r="Q28">
        <v>1</v>
      </c>
      <c r="R28">
        <v>1</v>
      </c>
      <c r="S28">
        <v>0</v>
      </c>
      <c r="T28" s="5">
        <f>SUM(E28:P28)</f>
      </c>
      <c r="U28" s="5">
        <f>SUM(Q28:S28)</f>
      </c>
    </row>
    <row r="29">
      <c r="A29" t="str">
        <v>EB2B</v>
      </c>
      <c r="B29" t="str">
        <v>The Derma Co.</v>
      </c>
      <c r="C29" t="str">
        <v>Lip Balm</v>
      </c>
      <c r="D29" t="str">
        <v>Pan India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N29">
        <v>0</v>
      </c>
      <c r="O29">
        <v>0</v>
      </c>
      <c r="P29">
        <v>0</v>
      </c>
      <c r="Q29">
        <v>0</v>
      </c>
      <c r="S29">
        <v>0</v>
      </c>
      <c r="T29" s="5">
        <f>SUM(E29:P29)</f>
      </c>
      <c r="U29" s="5">
        <f>SUM(Q29:S29)</f>
      </c>
    </row>
    <row r="30">
      <c r="A30" t="str">
        <v>EB2B</v>
      </c>
      <c r="B30" t="str">
        <v>The Derma Co.</v>
      </c>
      <c r="C30" t="str">
        <v>BB Cream</v>
      </c>
      <c r="D30" t="str">
        <v>Pan India</v>
      </c>
      <c r="E30">
        <v>0</v>
      </c>
      <c r="F30">
        <v>0</v>
      </c>
      <c r="G30">
        <v>0</v>
      </c>
      <c r="H30">
        <v>0</v>
      </c>
      <c r="I30">
        <v>0</v>
      </c>
      <c r="M30">
        <v>1</v>
      </c>
      <c r="T30" s="5">
        <f>SUM(E30:P30)</f>
      </c>
      <c r="U30" s="5">
        <f>SUM(Q30:S30)</f>
      </c>
    </row>
    <row r="31">
      <c r="A31" t="str">
        <v>EB2B</v>
      </c>
      <c r="B31" t="str">
        <v>Aqualogica</v>
      </c>
      <c r="C31" t="str">
        <v>Sun Care</v>
      </c>
      <c r="D31" t="str">
        <v>Pan India</v>
      </c>
      <c r="E31">
        <v>8</v>
      </c>
      <c r="F31">
        <v>6</v>
      </c>
      <c r="G31">
        <v>4</v>
      </c>
      <c r="H31">
        <v>3</v>
      </c>
      <c r="I31">
        <v>4</v>
      </c>
      <c r="J31">
        <v>4</v>
      </c>
      <c r="K31">
        <v>4</v>
      </c>
      <c r="L31">
        <v>4</v>
      </c>
      <c r="N31">
        <v>4</v>
      </c>
      <c r="O31">
        <v>5</v>
      </c>
      <c r="P31">
        <v>4</v>
      </c>
      <c r="Q31">
        <v>6</v>
      </c>
      <c r="R31">
        <v>4</v>
      </c>
      <c r="S31">
        <v>3</v>
      </c>
      <c r="T31" s="5">
        <f>SUM(E31:P31)</f>
      </c>
      <c r="U31" s="5">
        <f>SUM(Q31:S31)</f>
      </c>
    </row>
    <row r="32">
      <c r="A32" t="str">
        <v>EB2B</v>
      </c>
      <c r="B32" t="str">
        <v>Aqualogica</v>
      </c>
      <c r="C32" t="str">
        <v>Face Cleanser</v>
      </c>
      <c r="D32" t="str">
        <v>Pan India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 s="5">
        <f>SUM(E32:P32)</f>
      </c>
      <c r="U32" s="5">
        <f>SUM(Q32:S32)</f>
      </c>
    </row>
    <row r="33">
      <c r="A33" t="str">
        <v>EB2B</v>
      </c>
      <c r="B33" t="str">
        <v>Aqualogica</v>
      </c>
      <c r="C33" t="str">
        <v>Moisturisers</v>
      </c>
      <c r="D33" t="str">
        <v>Pan India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 s="5">
        <f>SUM(E33:P33)</f>
      </c>
      <c r="U33" s="5">
        <f>SUM(Q33:S33)</f>
      </c>
    </row>
    <row r="34">
      <c r="A34" t="str">
        <v>EB2B</v>
      </c>
      <c r="B34" t="str">
        <v>BBLUNT</v>
      </c>
      <c r="C34" t="str">
        <v>Creme Hair Colour</v>
      </c>
      <c r="D34" t="str">
        <v>Pan India</v>
      </c>
      <c r="E34">
        <v>0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T34" s="5">
        <f>SUM(E34:P34)</f>
      </c>
      <c r="U34" s="5">
        <f>SUM(Q34:S34)</f>
      </c>
    </row>
    <row r="35">
      <c r="A35" t="str">
        <v>EB2B</v>
      </c>
      <c r="B35" t="str">
        <v>Dr. Sheth's</v>
      </c>
      <c r="C35" t="str">
        <v>Sun Care</v>
      </c>
      <c r="D35" t="str">
        <v>Pan India</v>
      </c>
      <c r="K35">
        <v>1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1</v>
      </c>
      <c r="T35" s="5">
        <f>SUM(E35:P35)</f>
      </c>
      <c r="U35" s="5">
        <f>SUM(Q35:S35)</f>
      </c>
    </row>
    <row r="36">
      <c r="A36" t="str">
        <v>EB2B</v>
      </c>
      <c r="B36" t="str">
        <v>Dr. Sheth's</v>
      </c>
      <c r="C36" t="str">
        <v>Moisturisers</v>
      </c>
      <c r="D36" t="str">
        <v>Pan India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0</v>
      </c>
      <c r="T36" s="5">
        <f>SUM(E36:P36)</f>
      </c>
      <c r="U36" s="5">
        <f>SUM(Q36:S36)</f>
      </c>
    </row>
    <row r="37">
      <c r="A37" t="str">
        <v>EB2B</v>
      </c>
      <c r="B37" t="str">
        <v>Dr. Sheth's</v>
      </c>
      <c r="C37" t="str">
        <v>Face Cleanser</v>
      </c>
      <c r="D37" t="str">
        <v>Pan India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 s="5">
        <f>SUM(E37:P37)</f>
      </c>
      <c r="U37" s="5">
        <f>SUM(Q37:S37)</f>
      </c>
    </row>
    <row r="38">
      <c r="A38" t="str">
        <v>MT</v>
      </c>
      <c r="B38" t="str">
        <v>Mamaearth</v>
      </c>
      <c r="C38" t="str">
        <v>Face Cleanser</v>
      </c>
      <c r="D38" t="str">
        <v>EAST</v>
      </c>
      <c r="E38">
        <v>73</v>
      </c>
      <c r="F38">
        <v>92</v>
      </c>
      <c r="G38">
        <v>81</v>
      </c>
      <c r="H38">
        <v>80</v>
      </c>
      <c r="I38">
        <v>103</v>
      </c>
      <c r="J38">
        <v>81</v>
      </c>
      <c r="K38">
        <v>80</v>
      </c>
      <c r="L38">
        <v>80</v>
      </c>
      <c r="M38">
        <v>82</v>
      </c>
      <c r="N38">
        <v>108</v>
      </c>
      <c r="O38">
        <v>98</v>
      </c>
      <c r="P38">
        <v>118</v>
      </c>
      <c r="Q38">
        <v>122</v>
      </c>
      <c r="R38">
        <v>134</v>
      </c>
      <c r="S38">
        <v>126</v>
      </c>
      <c r="T38" s="5">
        <f>SUM(E38:P38)</f>
      </c>
      <c r="U38" s="5">
        <f>SUM(Q38:S38)</f>
      </c>
    </row>
    <row r="39">
      <c r="A39" t="str">
        <v>MT</v>
      </c>
      <c r="B39" t="str">
        <v>Mamaearth</v>
      </c>
      <c r="C39" t="str">
        <v>Face Cleanser</v>
      </c>
      <c r="D39" t="str">
        <v>NORTH</v>
      </c>
      <c r="E39">
        <v>177</v>
      </c>
      <c r="F39">
        <v>202</v>
      </c>
      <c r="G39">
        <v>191</v>
      </c>
      <c r="H39">
        <v>187</v>
      </c>
      <c r="I39">
        <v>227</v>
      </c>
      <c r="J39">
        <v>177</v>
      </c>
      <c r="K39">
        <v>199</v>
      </c>
      <c r="L39">
        <v>182</v>
      </c>
      <c r="M39">
        <v>181</v>
      </c>
      <c r="N39">
        <v>198</v>
      </c>
      <c r="O39">
        <v>195</v>
      </c>
      <c r="P39">
        <v>230</v>
      </c>
      <c r="Q39">
        <v>247</v>
      </c>
      <c r="R39">
        <v>266</v>
      </c>
      <c r="S39">
        <v>246</v>
      </c>
      <c r="T39" s="5">
        <f>SUM(E39:P39)</f>
      </c>
      <c r="U39" s="5">
        <f>SUM(Q39:S39)</f>
      </c>
    </row>
    <row r="40">
      <c r="A40" t="str">
        <v>MT</v>
      </c>
      <c r="B40" t="str">
        <v>Mamaearth</v>
      </c>
      <c r="C40" t="str">
        <v>Face Cleanser</v>
      </c>
      <c r="D40" t="str">
        <v>SOUTH-1</v>
      </c>
      <c r="E40">
        <v>105</v>
      </c>
      <c r="F40">
        <v>131</v>
      </c>
      <c r="G40">
        <v>123</v>
      </c>
      <c r="H40">
        <v>119</v>
      </c>
      <c r="I40">
        <v>145</v>
      </c>
      <c r="J40">
        <v>128</v>
      </c>
      <c r="K40">
        <v>137</v>
      </c>
      <c r="L40">
        <v>126</v>
      </c>
      <c r="M40">
        <v>129</v>
      </c>
      <c r="N40">
        <v>138</v>
      </c>
      <c r="O40">
        <v>137</v>
      </c>
      <c r="P40">
        <v>144</v>
      </c>
      <c r="Q40">
        <v>161</v>
      </c>
      <c r="R40">
        <v>189</v>
      </c>
      <c r="S40">
        <v>171</v>
      </c>
      <c r="T40" s="5">
        <f>SUM(E40:P40)</f>
      </c>
      <c r="U40" s="5">
        <f>SUM(Q40:S40)</f>
      </c>
    </row>
    <row r="41">
      <c r="A41" t="str">
        <v>MT</v>
      </c>
      <c r="B41" t="str">
        <v>Mamaearth</v>
      </c>
      <c r="C41" t="str">
        <v>Face Cleanser</v>
      </c>
      <c r="D41" t="str">
        <v>SOUTH-2</v>
      </c>
      <c r="E41">
        <v>85</v>
      </c>
      <c r="F41">
        <v>96</v>
      </c>
      <c r="G41">
        <v>108</v>
      </c>
      <c r="H41">
        <v>102</v>
      </c>
      <c r="I41">
        <v>98</v>
      </c>
      <c r="J41">
        <v>87</v>
      </c>
      <c r="K41">
        <v>100</v>
      </c>
      <c r="L41">
        <v>93</v>
      </c>
      <c r="M41">
        <v>91</v>
      </c>
      <c r="N41">
        <v>104</v>
      </c>
      <c r="O41">
        <v>101</v>
      </c>
      <c r="P41">
        <v>115</v>
      </c>
      <c r="Q41">
        <v>123</v>
      </c>
      <c r="R41">
        <v>145</v>
      </c>
      <c r="S41">
        <v>156</v>
      </c>
      <c r="T41" s="5">
        <f>SUM(E41:P41)</f>
      </c>
      <c r="U41" s="5">
        <f>SUM(Q41:S41)</f>
      </c>
    </row>
    <row r="42">
      <c r="A42" t="str">
        <v>MT</v>
      </c>
      <c r="B42" t="str">
        <v>Mamaearth</v>
      </c>
      <c r="C42" t="str">
        <v>Face Cleanser</v>
      </c>
      <c r="D42" t="str">
        <v>WEST</v>
      </c>
      <c r="E42">
        <v>245</v>
      </c>
      <c r="F42">
        <v>273</v>
      </c>
      <c r="G42">
        <v>258</v>
      </c>
      <c r="H42">
        <v>229</v>
      </c>
      <c r="I42">
        <v>257</v>
      </c>
      <c r="J42">
        <v>216</v>
      </c>
      <c r="K42">
        <v>287</v>
      </c>
      <c r="L42">
        <v>248</v>
      </c>
      <c r="M42">
        <v>217</v>
      </c>
      <c r="N42">
        <v>225</v>
      </c>
      <c r="O42">
        <v>224</v>
      </c>
      <c r="P42">
        <v>260</v>
      </c>
      <c r="Q42">
        <v>259</v>
      </c>
      <c r="R42">
        <v>290</v>
      </c>
      <c r="S42">
        <v>296</v>
      </c>
      <c r="T42" s="5">
        <f>SUM(E42:P42)</f>
      </c>
      <c r="U42" s="5">
        <f>SUM(Q42:S42)</f>
      </c>
    </row>
    <row r="43">
      <c r="A43" t="str">
        <v>MT</v>
      </c>
      <c r="B43" t="str">
        <v>Mamaearth</v>
      </c>
      <c r="C43" t="str">
        <v>Shampoo</v>
      </c>
      <c r="D43" t="str">
        <v>EAST</v>
      </c>
      <c r="E43">
        <v>50</v>
      </c>
      <c r="F43">
        <v>69</v>
      </c>
      <c r="G43">
        <v>56</v>
      </c>
      <c r="H43">
        <v>61</v>
      </c>
      <c r="I43">
        <v>99</v>
      </c>
      <c r="J43">
        <v>63</v>
      </c>
      <c r="K43">
        <v>66</v>
      </c>
      <c r="L43">
        <v>67</v>
      </c>
      <c r="M43">
        <v>88</v>
      </c>
      <c r="N43">
        <v>104</v>
      </c>
      <c r="O43">
        <v>71</v>
      </c>
      <c r="P43">
        <v>77</v>
      </c>
      <c r="Q43">
        <v>107</v>
      </c>
      <c r="R43">
        <v>122</v>
      </c>
      <c r="S43">
        <v>110</v>
      </c>
      <c r="T43" s="5">
        <f>SUM(E43:P43)</f>
      </c>
      <c r="U43" s="5">
        <f>SUM(Q43:S43)</f>
      </c>
    </row>
    <row r="44">
      <c r="A44" t="str">
        <v>MT</v>
      </c>
      <c r="B44" t="str">
        <v>Mamaearth</v>
      </c>
      <c r="C44" t="str">
        <v>Shampoo</v>
      </c>
      <c r="D44" t="str">
        <v>NORTH</v>
      </c>
      <c r="E44">
        <v>96</v>
      </c>
      <c r="F44">
        <v>122</v>
      </c>
      <c r="G44">
        <v>102</v>
      </c>
      <c r="H44">
        <v>115</v>
      </c>
      <c r="I44">
        <v>159</v>
      </c>
      <c r="J44">
        <v>109</v>
      </c>
      <c r="K44">
        <v>136</v>
      </c>
      <c r="L44">
        <v>119</v>
      </c>
      <c r="M44">
        <v>146</v>
      </c>
      <c r="N44">
        <v>171</v>
      </c>
      <c r="O44">
        <v>134</v>
      </c>
      <c r="P44">
        <v>146</v>
      </c>
      <c r="Q44">
        <v>176</v>
      </c>
      <c r="R44">
        <v>189</v>
      </c>
      <c r="S44">
        <v>149</v>
      </c>
      <c r="T44" s="5">
        <f>SUM(E44:P44)</f>
      </c>
      <c r="U44" s="5">
        <f>SUM(Q44:S44)</f>
      </c>
    </row>
    <row r="45">
      <c r="A45" t="str">
        <v>MT</v>
      </c>
      <c r="B45" t="str">
        <v>Mamaearth</v>
      </c>
      <c r="C45" t="str">
        <v>Shampoo</v>
      </c>
      <c r="D45" t="str">
        <v>SOUTH-1</v>
      </c>
      <c r="E45">
        <v>83</v>
      </c>
      <c r="F45">
        <v>105</v>
      </c>
      <c r="G45">
        <v>104</v>
      </c>
      <c r="H45">
        <v>108</v>
      </c>
      <c r="I45">
        <v>128</v>
      </c>
      <c r="J45">
        <v>109</v>
      </c>
      <c r="K45">
        <v>124</v>
      </c>
      <c r="L45">
        <v>107</v>
      </c>
      <c r="M45">
        <v>125</v>
      </c>
      <c r="N45">
        <v>143</v>
      </c>
      <c r="O45">
        <v>119</v>
      </c>
      <c r="P45">
        <v>130</v>
      </c>
      <c r="Q45">
        <v>138</v>
      </c>
      <c r="R45">
        <v>170</v>
      </c>
      <c r="S45">
        <v>96</v>
      </c>
      <c r="T45" s="5">
        <f>SUM(E45:P45)</f>
      </c>
      <c r="U45" s="5">
        <f>SUM(Q45:S45)</f>
      </c>
    </row>
    <row r="46">
      <c r="A46" t="str">
        <v>MT</v>
      </c>
      <c r="B46" t="str">
        <v>Mamaearth</v>
      </c>
      <c r="C46" t="str">
        <v>Shampoo</v>
      </c>
      <c r="D46" t="str">
        <v>SOUTH-2</v>
      </c>
      <c r="E46">
        <v>70</v>
      </c>
      <c r="F46">
        <v>76</v>
      </c>
      <c r="G46">
        <v>81</v>
      </c>
      <c r="H46">
        <v>80</v>
      </c>
      <c r="I46">
        <v>84</v>
      </c>
      <c r="J46">
        <v>74</v>
      </c>
      <c r="K46">
        <v>95</v>
      </c>
      <c r="L46">
        <v>87</v>
      </c>
      <c r="M46">
        <v>104</v>
      </c>
      <c r="N46">
        <v>108</v>
      </c>
      <c r="O46">
        <v>92</v>
      </c>
      <c r="P46">
        <v>103</v>
      </c>
      <c r="Q46">
        <v>112</v>
      </c>
      <c r="R46">
        <v>119</v>
      </c>
      <c r="S46">
        <v>105</v>
      </c>
      <c r="T46" s="5">
        <f>SUM(E46:P46)</f>
      </c>
      <c r="U46" s="5">
        <f>SUM(Q46:S46)</f>
      </c>
    </row>
    <row r="47">
      <c r="A47" t="str">
        <v>MT</v>
      </c>
      <c r="B47" t="str">
        <v>Mamaearth</v>
      </c>
      <c r="C47" t="str">
        <v>Shampoo</v>
      </c>
      <c r="D47" t="str">
        <v>WEST</v>
      </c>
      <c r="E47">
        <v>113</v>
      </c>
      <c r="F47">
        <v>130</v>
      </c>
      <c r="G47">
        <v>133</v>
      </c>
      <c r="H47">
        <v>128</v>
      </c>
      <c r="I47">
        <v>149</v>
      </c>
      <c r="J47">
        <v>120</v>
      </c>
      <c r="K47">
        <v>168</v>
      </c>
      <c r="L47">
        <v>140</v>
      </c>
      <c r="M47">
        <v>155</v>
      </c>
      <c r="N47">
        <v>162</v>
      </c>
      <c r="O47">
        <v>142</v>
      </c>
      <c r="P47">
        <v>164</v>
      </c>
      <c r="Q47">
        <v>169</v>
      </c>
      <c r="R47">
        <v>175</v>
      </c>
      <c r="S47">
        <v>176</v>
      </c>
      <c r="T47" s="5">
        <f>SUM(E47:P47)</f>
      </c>
      <c r="U47" s="5">
        <f>SUM(Q47:S47)</f>
      </c>
    </row>
    <row r="48">
      <c r="A48" t="str">
        <v>MT</v>
      </c>
      <c r="B48" t="str">
        <v>Mamaearth</v>
      </c>
      <c r="C48" t="str">
        <v>Sun Care</v>
      </c>
      <c r="D48" t="str">
        <v>EAST</v>
      </c>
      <c r="E48">
        <v>13</v>
      </c>
      <c r="F48">
        <v>14</v>
      </c>
      <c r="G48">
        <v>12</v>
      </c>
      <c r="H48">
        <v>9</v>
      </c>
      <c r="I48">
        <v>9</v>
      </c>
      <c r="J48">
        <v>8</v>
      </c>
      <c r="K48">
        <v>8</v>
      </c>
      <c r="L48">
        <v>9</v>
      </c>
      <c r="M48">
        <v>9</v>
      </c>
      <c r="N48">
        <v>12</v>
      </c>
      <c r="O48">
        <v>16</v>
      </c>
      <c r="P48">
        <v>19</v>
      </c>
      <c r="Q48">
        <v>30</v>
      </c>
      <c r="R48">
        <v>36</v>
      </c>
      <c r="S48">
        <v>25</v>
      </c>
      <c r="T48" s="5">
        <f>SUM(E48:P48)</f>
      </c>
      <c r="U48" s="5">
        <f>SUM(Q48:S48)</f>
      </c>
    </row>
    <row r="49">
      <c r="A49" t="str">
        <v>MT</v>
      </c>
      <c r="B49" t="str">
        <v>Mamaearth</v>
      </c>
      <c r="C49" t="str">
        <v>Sun Care</v>
      </c>
      <c r="D49" t="str">
        <v>NORTH</v>
      </c>
      <c r="E49">
        <v>63</v>
      </c>
      <c r="F49">
        <v>59</v>
      </c>
      <c r="G49">
        <v>45</v>
      </c>
      <c r="H49">
        <v>26</v>
      </c>
      <c r="I49">
        <v>23</v>
      </c>
      <c r="J49">
        <v>21</v>
      </c>
      <c r="K49">
        <v>23</v>
      </c>
      <c r="L49">
        <v>20</v>
      </c>
      <c r="M49">
        <v>22</v>
      </c>
      <c r="N49">
        <v>22</v>
      </c>
      <c r="O49">
        <v>40</v>
      </c>
      <c r="P49">
        <v>72</v>
      </c>
      <c r="Q49">
        <v>86</v>
      </c>
      <c r="R49">
        <v>89</v>
      </c>
      <c r="S49">
        <v>65</v>
      </c>
      <c r="T49" s="5">
        <f>SUM(E49:P49)</f>
      </c>
      <c r="U49" s="5">
        <f>SUM(Q49:S49)</f>
      </c>
    </row>
    <row r="50">
      <c r="A50" t="str">
        <v>MT</v>
      </c>
      <c r="B50" t="str">
        <v>Mamaearth</v>
      </c>
      <c r="C50" t="str">
        <v>Sun Care</v>
      </c>
      <c r="D50" t="str">
        <v>SOUTH-1</v>
      </c>
      <c r="E50">
        <v>29</v>
      </c>
      <c r="F50">
        <v>32</v>
      </c>
      <c r="G50">
        <v>23</v>
      </c>
      <c r="H50">
        <v>20</v>
      </c>
      <c r="I50">
        <v>21</v>
      </c>
      <c r="J50">
        <v>21</v>
      </c>
      <c r="K50">
        <v>22</v>
      </c>
      <c r="L50">
        <v>20</v>
      </c>
      <c r="M50">
        <v>22</v>
      </c>
      <c r="N50">
        <v>28</v>
      </c>
      <c r="O50">
        <v>32</v>
      </c>
      <c r="P50">
        <v>51</v>
      </c>
      <c r="Q50">
        <v>70</v>
      </c>
      <c r="R50">
        <v>70</v>
      </c>
      <c r="S50">
        <v>53</v>
      </c>
      <c r="T50" s="5">
        <f>SUM(E50:P50)</f>
      </c>
      <c r="U50" s="5">
        <f>SUM(Q50:S50)</f>
      </c>
    </row>
    <row r="51">
      <c r="A51" t="str">
        <v>MT</v>
      </c>
      <c r="B51" t="str">
        <v>Mamaearth</v>
      </c>
      <c r="C51" t="str">
        <v>Sun Care</v>
      </c>
      <c r="D51" t="str">
        <v>SOUTH-2</v>
      </c>
      <c r="E51">
        <v>19</v>
      </c>
      <c r="F51">
        <v>20</v>
      </c>
      <c r="G51">
        <v>15</v>
      </c>
      <c r="H51">
        <v>12</v>
      </c>
      <c r="I51">
        <v>11</v>
      </c>
      <c r="J51">
        <v>10</v>
      </c>
      <c r="K51">
        <v>11</v>
      </c>
      <c r="L51">
        <v>9</v>
      </c>
      <c r="M51">
        <v>9</v>
      </c>
      <c r="N51">
        <v>12</v>
      </c>
      <c r="O51">
        <v>14</v>
      </c>
      <c r="P51">
        <v>31</v>
      </c>
      <c r="Q51">
        <v>38</v>
      </c>
      <c r="R51">
        <v>40</v>
      </c>
      <c r="S51">
        <v>28</v>
      </c>
      <c r="T51" s="5">
        <f>SUM(E51:P51)</f>
      </c>
      <c r="U51" s="5">
        <f>SUM(Q51:S51)</f>
      </c>
    </row>
    <row r="52">
      <c r="A52" t="str">
        <v>MT</v>
      </c>
      <c r="B52" t="str">
        <v>Mamaearth</v>
      </c>
      <c r="C52" t="str">
        <v>Sun Care</v>
      </c>
      <c r="D52" t="str">
        <v>WEST</v>
      </c>
      <c r="E52">
        <v>79</v>
      </c>
      <c r="F52">
        <v>64</v>
      </c>
      <c r="G52">
        <v>34</v>
      </c>
      <c r="H52">
        <v>19</v>
      </c>
      <c r="I52">
        <v>20</v>
      </c>
      <c r="J52">
        <v>18</v>
      </c>
      <c r="K52">
        <v>30</v>
      </c>
      <c r="L52">
        <v>21</v>
      </c>
      <c r="M52">
        <v>20</v>
      </c>
      <c r="N52">
        <v>23</v>
      </c>
      <c r="O52">
        <v>45</v>
      </c>
      <c r="P52">
        <v>107</v>
      </c>
      <c r="Q52">
        <v>103</v>
      </c>
      <c r="R52">
        <v>88</v>
      </c>
      <c r="S52">
        <v>50</v>
      </c>
      <c r="T52" s="5">
        <f>SUM(E52:P52)</f>
      </c>
      <c r="U52" s="5">
        <f>SUM(Q52:S52)</f>
      </c>
    </row>
    <row r="53">
      <c r="A53" t="str">
        <v>MT</v>
      </c>
      <c r="B53" t="str">
        <v>Mamaearth</v>
      </c>
      <c r="C53" t="str">
        <v>Body Lotion</v>
      </c>
      <c r="D53" t="str">
        <v>EAST</v>
      </c>
      <c r="E53">
        <v>8</v>
      </c>
      <c r="F53">
        <v>8</v>
      </c>
      <c r="G53">
        <v>5</v>
      </c>
      <c r="H53">
        <v>5</v>
      </c>
      <c r="I53">
        <v>5</v>
      </c>
      <c r="J53">
        <v>8</v>
      </c>
      <c r="K53">
        <v>28</v>
      </c>
      <c r="L53">
        <v>58</v>
      </c>
      <c r="M53">
        <v>37</v>
      </c>
      <c r="N53">
        <v>20</v>
      </c>
      <c r="O53">
        <v>10</v>
      </c>
      <c r="P53">
        <v>9</v>
      </c>
      <c r="Q53">
        <v>7</v>
      </c>
      <c r="R53">
        <v>5</v>
      </c>
      <c r="S53">
        <v>6</v>
      </c>
      <c r="T53" s="5">
        <f>SUM(E53:P53)</f>
      </c>
      <c r="U53" s="5">
        <f>SUM(Q53:S53)</f>
      </c>
    </row>
    <row r="54">
      <c r="A54" t="str">
        <v>MT</v>
      </c>
      <c r="B54" t="str">
        <v>Mamaearth</v>
      </c>
      <c r="C54" t="str">
        <v>Body Lotion</v>
      </c>
      <c r="D54" t="str">
        <v>NORTH</v>
      </c>
      <c r="E54">
        <v>32</v>
      </c>
      <c r="F54">
        <v>26</v>
      </c>
      <c r="G54">
        <v>18</v>
      </c>
      <c r="H54">
        <v>12</v>
      </c>
      <c r="I54">
        <v>11</v>
      </c>
      <c r="J54">
        <v>22</v>
      </c>
      <c r="K54">
        <v>90</v>
      </c>
      <c r="L54">
        <v>123</v>
      </c>
      <c r="M54">
        <v>95</v>
      </c>
      <c r="N54">
        <v>65</v>
      </c>
      <c r="O54">
        <v>42</v>
      </c>
      <c r="P54">
        <v>42</v>
      </c>
      <c r="Q54">
        <v>35</v>
      </c>
      <c r="R54">
        <v>25</v>
      </c>
      <c r="S54">
        <v>22</v>
      </c>
      <c r="T54" s="5">
        <f>SUM(E54:P54)</f>
      </c>
      <c r="U54" s="5">
        <f>SUM(Q54:S54)</f>
      </c>
    </row>
    <row r="55">
      <c r="A55" t="str">
        <v>MT</v>
      </c>
      <c r="B55" t="str">
        <v>Mamaearth</v>
      </c>
      <c r="C55" t="str">
        <v>Body Lotion</v>
      </c>
      <c r="D55" t="str">
        <v>SOUTH-1</v>
      </c>
      <c r="E55">
        <v>24</v>
      </c>
      <c r="F55">
        <v>26</v>
      </c>
      <c r="G55">
        <v>20</v>
      </c>
      <c r="H55">
        <v>18</v>
      </c>
      <c r="I55">
        <v>22</v>
      </c>
      <c r="J55">
        <v>33</v>
      </c>
      <c r="K55">
        <v>55</v>
      </c>
      <c r="L55">
        <v>83</v>
      </c>
      <c r="M55">
        <v>100</v>
      </c>
      <c r="N55">
        <v>78</v>
      </c>
      <c r="O55">
        <v>52</v>
      </c>
      <c r="P55">
        <v>42</v>
      </c>
      <c r="Q55">
        <v>32</v>
      </c>
      <c r="R55">
        <v>37</v>
      </c>
      <c r="S55">
        <v>30</v>
      </c>
      <c r="T55" s="5">
        <f>SUM(E55:P55)</f>
      </c>
      <c r="U55" s="5">
        <f>SUM(Q55:S55)</f>
      </c>
    </row>
    <row r="56">
      <c r="A56" t="str">
        <v>MT</v>
      </c>
      <c r="B56" t="str">
        <v>Mamaearth</v>
      </c>
      <c r="C56" t="str">
        <v>Body Lotion</v>
      </c>
      <c r="D56" t="str">
        <v>SOUTH-2</v>
      </c>
      <c r="E56">
        <v>14</v>
      </c>
      <c r="F56">
        <v>12</v>
      </c>
      <c r="G56">
        <v>13</v>
      </c>
      <c r="H56">
        <v>12</v>
      </c>
      <c r="I56">
        <v>12</v>
      </c>
      <c r="J56">
        <v>16</v>
      </c>
      <c r="K56">
        <v>30</v>
      </c>
      <c r="L56">
        <v>79</v>
      </c>
      <c r="M56">
        <v>75</v>
      </c>
      <c r="N56">
        <v>52</v>
      </c>
      <c r="O56">
        <v>24</v>
      </c>
      <c r="P56">
        <v>18</v>
      </c>
      <c r="Q56">
        <v>12</v>
      </c>
      <c r="R56">
        <v>12</v>
      </c>
      <c r="S56">
        <v>12</v>
      </c>
      <c r="T56" s="5">
        <f>SUM(E56:P56)</f>
      </c>
      <c r="U56" s="5">
        <f>SUM(Q56:S56)</f>
      </c>
    </row>
    <row r="57">
      <c r="A57" t="str">
        <v>MT</v>
      </c>
      <c r="B57" t="str">
        <v>Mamaearth</v>
      </c>
      <c r="C57" t="str">
        <v>Body Lotion</v>
      </c>
      <c r="D57" t="str">
        <v>WEST</v>
      </c>
      <c r="E57">
        <v>31</v>
      </c>
      <c r="F57">
        <v>22</v>
      </c>
      <c r="G57">
        <v>15</v>
      </c>
      <c r="H57">
        <v>13</v>
      </c>
      <c r="I57">
        <v>14</v>
      </c>
      <c r="J57">
        <v>21</v>
      </c>
      <c r="K57">
        <v>72</v>
      </c>
      <c r="L57">
        <v>144</v>
      </c>
      <c r="M57">
        <v>119</v>
      </c>
      <c r="N57">
        <v>76</v>
      </c>
      <c r="O57">
        <v>38</v>
      </c>
      <c r="P57">
        <v>30</v>
      </c>
      <c r="Q57">
        <v>21</v>
      </c>
      <c r="R57">
        <v>16</v>
      </c>
      <c r="S57">
        <v>16</v>
      </c>
      <c r="T57" s="5">
        <f>SUM(E57:P57)</f>
      </c>
      <c r="U57" s="5">
        <f>SUM(Q57:S57)</f>
      </c>
    </row>
    <row r="58">
      <c r="A58" t="str">
        <v>MT</v>
      </c>
      <c r="B58" t="str">
        <v>Mamaearth</v>
      </c>
      <c r="C58" t="str">
        <v>Body Wash</v>
      </c>
      <c r="D58" t="str">
        <v>EAST</v>
      </c>
      <c r="E58">
        <v>5</v>
      </c>
      <c r="F58">
        <v>7</v>
      </c>
      <c r="G58">
        <v>6</v>
      </c>
      <c r="H58">
        <v>5</v>
      </c>
      <c r="I58">
        <v>6</v>
      </c>
      <c r="J58">
        <v>5</v>
      </c>
      <c r="K58">
        <v>6</v>
      </c>
      <c r="L58">
        <v>8</v>
      </c>
      <c r="M58">
        <v>9</v>
      </c>
      <c r="N58">
        <v>11</v>
      </c>
      <c r="O58">
        <v>11</v>
      </c>
      <c r="P58">
        <v>12</v>
      </c>
      <c r="Q58">
        <v>14</v>
      </c>
      <c r="R58">
        <v>13</v>
      </c>
      <c r="S58">
        <v>15</v>
      </c>
      <c r="T58" s="5">
        <f>SUM(E58:P58)</f>
      </c>
      <c r="U58" s="5">
        <f>SUM(Q58:S58)</f>
      </c>
    </row>
    <row r="59">
      <c r="A59" t="str">
        <v>MT</v>
      </c>
      <c r="B59" t="str">
        <v>Mamaearth</v>
      </c>
      <c r="C59" t="str">
        <v>Body Wash</v>
      </c>
      <c r="D59" t="str">
        <v>NORTH</v>
      </c>
      <c r="E59">
        <v>13</v>
      </c>
      <c r="F59">
        <v>19</v>
      </c>
      <c r="G59">
        <v>17</v>
      </c>
      <c r="H59">
        <v>15</v>
      </c>
      <c r="I59">
        <v>16</v>
      </c>
      <c r="J59">
        <v>15</v>
      </c>
      <c r="K59">
        <v>16</v>
      </c>
      <c r="L59">
        <v>18</v>
      </c>
      <c r="M59">
        <v>18</v>
      </c>
      <c r="N59">
        <v>18</v>
      </c>
      <c r="O59">
        <v>19</v>
      </c>
      <c r="P59">
        <v>19</v>
      </c>
      <c r="Q59">
        <v>18</v>
      </c>
      <c r="R59">
        <v>18</v>
      </c>
      <c r="S59">
        <v>18</v>
      </c>
      <c r="T59" s="5">
        <f>SUM(E59:P59)</f>
      </c>
      <c r="U59" s="5">
        <f>SUM(Q59:S59)</f>
      </c>
    </row>
    <row r="60">
      <c r="A60" t="str">
        <v>MT</v>
      </c>
      <c r="B60" t="str">
        <v>Mamaearth</v>
      </c>
      <c r="C60" t="str">
        <v>Body Wash</v>
      </c>
      <c r="D60" t="str">
        <v>SOUTH-1</v>
      </c>
      <c r="E60">
        <v>6</v>
      </c>
      <c r="F60">
        <v>10</v>
      </c>
      <c r="G60">
        <v>12</v>
      </c>
      <c r="H60">
        <v>13</v>
      </c>
      <c r="I60">
        <v>16</v>
      </c>
      <c r="J60">
        <v>14</v>
      </c>
      <c r="K60">
        <v>14</v>
      </c>
      <c r="L60">
        <v>15</v>
      </c>
      <c r="M60">
        <v>16</v>
      </c>
      <c r="N60">
        <v>16</v>
      </c>
      <c r="O60">
        <v>15</v>
      </c>
      <c r="P60">
        <v>15</v>
      </c>
      <c r="Q60">
        <v>18</v>
      </c>
      <c r="R60">
        <v>20</v>
      </c>
      <c r="S60">
        <v>21</v>
      </c>
      <c r="T60" s="5">
        <f>SUM(E60:P60)</f>
      </c>
      <c r="U60" s="5">
        <f>SUM(Q60:S60)</f>
      </c>
    </row>
    <row r="61">
      <c r="A61" t="str">
        <v>MT</v>
      </c>
      <c r="B61" t="str">
        <v>Mamaearth</v>
      </c>
      <c r="C61" t="str">
        <v>Body Wash</v>
      </c>
      <c r="D61" t="str">
        <v>SOUTH-2</v>
      </c>
      <c r="E61">
        <v>3</v>
      </c>
      <c r="F61">
        <v>3</v>
      </c>
      <c r="G61">
        <v>2</v>
      </c>
      <c r="H61">
        <v>3</v>
      </c>
      <c r="I61">
        <v>3</v>
      </c>
      <c r="J61">
        <v>3</v>
      </c>
      <c r="K61">
        <v>3</v>
      </c>
      <c r="L61">
        <v>4</v>
      </c>
      <c r="M61">
        <v>5</v>
      </c>
      <c r="N61">
        <v>5</v>
      </c>
      <c r="O61">
        <v>5</v>
      </c>
      <c r="P61">
        <v>5</v>
      </c>
      <c r="Q61">
        <v>7</v>
      </c>
      <c r="R61">
        <v>7</v>
      </c>
      <c r="S61">
        <v>7</v>
      </c>
      <c r="T61" s="5">
        <f>SUM(E61:P61)</f>
      </c>
      <c r="U61" s="5">
        <f>SUM(Q61:S61)</f>
      </c>
    </row>
    <row r="62">
      <c r="A62" t="str">
        <v>MT</v>
      </c>
      <c r="B62" t="str">
        <v>Mamaearth</v>
      </c>
      <c r="C62" t="str">
        <v>Body Wash</v>
      </c>
      <c r="D62" t="str">
        <v>WEST</v>
      </c>
      <c r="E62">
        <v>15</v>
      </c>
      <c r="F62">
        <v>17</v>
      </c>
      <c r="G62">
        <v>17</v>
      </c>
      <c r="H62">
        <v>17</v>
      </c>
      <c r="I62">
        <v>17</v>
      </c>
      <c r="J62">
        <v>15</v>
      </c>
      <c r="K62">
        <v>19</v>
      </c>
      <c r="L62">
        <v>20</v>
      </c>
      <c r="M62">
        <v>18</v>
      </c>
      <c r="N62">
        <v>12</v>
      </c>
      <c r="O62">
        <v>11</v>
      </c>
      <c r="P62">
        <v>10</v>
      </c>
      <c r="Q62">
        <v>9</v>
      </c>
      <c r="R62">
        <v>11</v>
      </c>
      <c r="S62">
        <v>10</v>
      </c>
      <c r="T62" s="5">
        <f>SUM(E62:P62)</f>
      </c>
      <c r="U62" s="5">
        <f>SUM(Q62:S62)</f>
      </c>
    </row>
    <row r="63">
      <c r="A63" t="str">
        <v>MT</v>
      </c>
      <c r="B63" t="str">
        <v>Mamaearth</v>
      </c>
      <c r="C63" t="str">
        <v>Baby Soap</v>
      </c>
      <c r="D63" t="str">
        <v>EAST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2</v>
      </c>
      <c r="P63">
        <v>2</v>
      </c>
      <c r="Q63">
        <v>1</v>
      </c>
      <c r="R63">
        <v>1</v>
      </c>
      <c r="S63">
        <v>2</v>
      </c>
      <c r="T63" s="5">
        <f>SUM(E63:P63)</f>
      </c>
      <c r="U63" s="5">
        <f>SUM(Q63:S63)</f>
      </c>
    </row>
    <row r="64">
      <c r="A64" t="str">
        <v>MT</v>
      </c>
      <c r="B64" t="str">
        <v>Mamaearth</v>
      </c>
      <c r="C64" t="str">
        <v>Baby Soap</v>
      </c>
      <c r="D64" t="str">
        <v>NORTH</v>
      </c>
      <c r="E64">
        <v>3</v>
      </c>
      <c r="F64">
        <v>3</v>
      </c>
      <c r="G64">
        <v>3</v>
      </c>
      <c r="H64">
        <v>3</v>
      </c>
      <c r="I64">
        <v>3</v>
      </c>
      <c r="J64">
        <v>3</v>
      </c>
      <c r="K64">
        <v>3</v>
      </c>
      <c r="L64">
        <v>2</v>
      </c>
      <c r="M64">
        <v>3</v>
      </c>
      <c r="N64">
        <v>2</v>
      </c>
      <c r="O64">
        <v>3</v>
      </c>
      <c r="P64">
        <v>3</v>
      </c>
      <c r="Q64">
        <v>3</v>
      </c>
      <c r="R64">
        <v>3</v>
      </c>
      <c r="S64">
        <v>3</v>
      </c>
      <c r="T64" s="5">
        <f>SUM(E64:P64)</f>
      </c>
      <c r="U64" s="5">
        <f>SUM(Q64:S64)</f>
      </c>
    </row>
    <row r="65">
      <c r="A65" t="str">
        <v>MT</v>
      </c>
      <c r="B65" t="str">
        <v>Mamaearth</v>
      </c>
      <c r="C65" t="str">
        <v>Baby Soap</v>
      </c>
      <c r="D65" t="str">
        <v>SOUTH-1</v>
      </c>
      <c r="E65">
        <v>15</v>
      </c>
      <c r="F65">
        <v>16</v>
      </c>
      <c r="G65">
        <v>16</v>
      </c>
      <c r="H65">
        <v>17</v>
      </c>
      <c r="I65">
        <v>17</v>
      </c>
      <c r="J65">
        <v>15</v>
      </c>
      <c r="K65">
        <v>17</v>
      </c>
      <c r="L65">
        <v>15</v>
      </c>
      <c r="M65">
        <v>14</v>
      </c>
      <c r="N65">
        <v>14</v>
      </c>
      <c r="O65">
        <v>14</v>
      </c>
      <c r="P65">
        <v>17</v>
      </c>
      <c r="Q65">
        <v>17</v>
      </c>
      <c r="R65">
        <v>19</v>
      </c>
      <c r="S65">
        <v>16</v>
      </c>
      <c r="T65" s="5">
        <f>SUM(E65:P65)</f>
      </c>
      <c r="U65" s="5">
        <f>SUM(Q65:S65)</f>
      </c>
    </row>
    <row r="66">
      <c r="A66" t="str">
        <v>MT</v>
      </c>
      <c r="B66" t="str">
        <v>Mamaearth</v>
      </c>
      <c r="C66" t="str">
        <v>Baby Soap</v>
      </c>
      <c r="D66" t="str">
        <v>SOUTH-2</v>
      </c>
      <c r="E66">
        <v>31</v>
      </c>
      <c r="F66">
        <v>32</v>
      </c>
      <c r="G66">
        <v>32</v>
      </c>
      <c r="H66">
        <v>31</v>
      </c>
      <c r="I66">
        <v>31</v>
      </c>
      <c r="J66">
        <v>27</v>
      </c>
      <c r="K66">
        <v>31</v>
      </c>
      <c r="L66">
        <v>27</v>
      </c>
      <c r="M66">
        <v>27</v>
      </c>
      <c r="N66">
        <v>27</v>
      </c>
      <c r="O66">
        <v>27</v>
      </c>
      <c r="P66">
        <v>33</v>
      </c>
      <c r="Q66">
        <v>33</v>
      </c>
      <c r="R66">
        <v>36</v>
      </c>
      <c r="S66">
        <v>36</v>
      </c>
      <c r="T66" s="5">
        <f>SUM(E66:P66)</f>
      </c>
      <c r="U66" s="5">
        <f>SUM(Q66:S66)</f>
      </c>
    </row>
    <row r="67">
      <c r="A67" t="str">
        <v>MT</v>
      </c>
      <c r="B67" t="str">
        <v>Mamaearth</v>
      </c>
      <c r="C67" t="str">
        <v>Baby Soap</v>
      </c>
      <c r="D67" t="str">
        <v>WEST</v>
      </c>
      <c r="E67">
        <v>12</v>
      </c>
      <c r="F67">
        <v>10</v>
      </c>
      <c r="G67">
        <v>10</v>
      </c>
      <c r="H67">
        <v>9</v>
      </c>
      <c r="I67">
        <v>9</v>
      </c>
      <c r="J67">
        <v>8</v>
      </c>
      <c r="K67">
        <v>10</v>
      </c>
      <c r="L67">
        <v>9</v>
      </c>
      <c r="M67">
        <v>9</v>
      </c>
      <c r="N67">
        <v>9</v>
      </c>
      <c r="O67">
        <v>10</v>
      </c>
      <c r="P67">
        <v>11</v>
      </c>
      <c r="Q67">
        <v>10</v>
      </c>
      <c r="R67">
        <v>10</v>
      </c>
      <c r="S67">
        <v>10</v>
      </c>
      <c r="T67" s="5">
        <f>SUM(E67:P67)</f>
      </c>
      <c r="U67" s="5">
        <f>SUM(Q67:S67)</f>
      </c>
    </row>
    <row r="68">
      <c r="A68" t="str">
        <v>MT</v>
      </c>
      <c r="B68" t="str">
        <v>Mamaearth</v>
      </c>
      <c r="C68" t="str">
        <v>Moisturisers</v>
      </c>
      <c r="D68" t="str">
        <v>EAST</v>
      </c>
      <c r="E68">
        <v>4</v>
      </c>
      <c r="F68">
        <v>5</v>
      </c>
      <c r="G68">
        <v>3</v>
      </c>
      <c r="H68">
        <v>3</v>
      </c>
      <c r="I68">
        <v>3</v>
      </c>
      <c r="J68">
        <v>3</v>
      </c>
      <c r="K68">
        <v>10</v>
      </c>
      <c r="L68">
        <v>16</v>
      </c>
      <c r="M68">
        <v>12</v>
      </c>
      <c r="N68">
        <v>15</v>
      </c>
      <c r="O68">
        <v>9</v>
      </c>
      <c r="P68">
        <v>8</v>
      </c>
      <c r="Q68">
        <v>10</v>
      </c>
      <c r="R68">
        <v>11</v>
      </c>
      <c r="S68">
        <v>12</v>
      </c>
      <c r="T68" s="5">
        <f>SUM(E68:P68)</f>
      </c>
      <c r="U68" s="5">
        <f>SUM(Q68:S68)</f>
      </c>
    </row>
    <row r="69">
      <c r="A69" t="str">
        <v>MT</v>
      </c>
      <c r="B69" t="str">
        <v>Mamaearth</v>
      </c>
      <c r="C69" t="str">
        <v>Moisturisers</v>
      </c>
      <c r="D69" t="str">
        <v>NORTH</v>
      </c>
      <c r="E69">
        <v>10</v>
      </c>
      <c r="F69">
        <v>11</v>
      </c>
      <c r="G69">
        <v>8</v>
      </c>
      <c r="H69">
        <v>8</v>
      </c>
      <c r="I69">
        <v>8</v>
      </c>
      <c r="J69">
        <v>7</v>
      </c>
      <c r="K69">
        <v>19</v>
      </c>
      <c r="L69">
        <v>29</v>
      </c>
      <c r="M69">
        <v>25</v>
      </c>
      <c r="N69">
        <v>23</v>
      </c>
      <c r="O69">
        <v>18</v>
      </c>
      <c r="P69">
        <v>20</v>
      </c>
      <c r="Q69">
        <v>25</v>
      </c>
      <c r="R69">
        <v>23</v>
      </c>
      <c r="S69">
        <v>20</v>
      </c>
      <c r="T69" s="5">
        <f>SUM(E69:P69)</f>
      </c>
      <c r="U69" s="5">
        <f>SUM(Q69:S69)</f>
      </c>
    </row>
    <row r="70">
      <c r="A70" t="str">
        <v>MT</v>
      </c>
      <c r="B70" t="str">
        <v>Mamaearth</v>
      </c>
      <c r="C70" t="str">
        <v>Moisturisers</v>
      </c>
      <c r="D70" t="str">
        <v>SOUTH-1</v>
      </c>
      <c r="E70">
        <v>7</v>
      </c>
      <c r="F70">
        <v>8</v>
      </c>
      <c r="G70">
        <v>7</v>
      </c>
      <c r="H70">
        <v>10</v>
      </c>
      <c r="I70">
        <v>9</v>
      </c>
      <c r="J70">
        <v>8</v>
      </c>
      <c r="K70">
        <v>13</v>
      </c>
      <c r="L70">
        <v>17</v>
      </c>
      <c r="M70">
        <v>20</v>
      </c>
      <c r="N70">
        <v>21</v>
      </c>
      <c r="O70">
        <v>16</v>
      </c>
      <c r="P70">
        <v>14</v>
      </c>
      <c r="Q70">
        <v>15</v>
      </c>
      <c r="R70">
        <v>15</v>
      </c>
      <c r="S70">
        <v>15</v>
      </c>
      <c r="T70" s="5">
        <f>SUM(E70:P70)</f>
      </c>
      <c r="U70" s="5">
        <f>SUM(Q70:S70)</f>
      </c>
    </row>
    <row r="71">
      <c r="A71" t="str">
        <v>MT</v>
      </c>
      <c r="B71" t="str">
        <v>Mamaearth</v>
      </c>
      <c r="C71" t="str">
        <v>Moisturisers</v>
      </c>
      <c r="D71" t="str">
        <v>SOUTH-2</v>
      </c>
      <c r="E71">
        <v>4</v>
      </c>
      <c r="F71">
        <v>5</v>
      </c>
      <c r="G71">
        <v>4</v>
      </c>
      <c r="H71">
        <v>4</v>
      </c>
      <c r="I71">
        <v>4</v>
      </c>
      <c r="J71">
        <v>4</v>
      </c>
      <c r="K71">
        <v>5</v>
      </c>
      <c r="L71">
        <v>12</v>
      </c>
      <c r="M71">
        <v>13</v>
      </c>
      <c r="N71">
        <v>14</v>
      </c>
      <c r="O71">
        <v>10</v>
      </c>
      <c r="P71">
        <v>8</v>
      </c>
      <c r="Q71">
        <v>7</v>
      </c>
      <c r="R71">
        <v>7</v>
      </c>
      <c r="S71">
        <v>8</v>
      </c>
      <c r="T71" s="5">
        <f>SUM(E71:P71)</f>
      </c>
      <c r="U71" s="5">
        <f>SUM(Q71:S71)</f>
      </c>
    </row>
    <row r="72">
      <c r="A72" t="str">
        <v>MT</v>
      </c>
      <c r="B72" t="str">
        <v>Mamaearth</v>
      </c>
      <c r="C72" t="str">
        <v>Moisturisers</v>
      </c>
      <c r="D72" t="str">
        <v>WEST</v>
      </c>
      <c r="E72">
        <v>4</v>
      </c>
      <c r="F72">
        <v>4</v>
      </c>
      <c r="G72">
        <v>4</v>
      </c>
      <c r="H72">
        <v>4</v>
      </c>
      <c r="I72">
        <v>4</v>
      </c>
      <c r="J72">
        <v>4</v>
      </c>
      <c r="K72">
        <v>10</v>
      </c>
      <c r="L72">
        <v>22</v>
      </c>
      <c r="M72">
        <v>19</v>
      </c>
      <c r="N72">
        <v>20</v>
      </c>
      <c r="O72">
        <v>14</v>
      </c>
      <c r="P72">
        <v>12</v>
      </c>
      <c r="Q72">
        <v>11</v>
      </c>
      <c r="R72">
        <v>11</v>
      </c>
      <c r="S72">
        <v>11</v>
      </c>
      <c r="T72" s="5">
        <f>SUM(E72:P72)</f>
      </c>
      <c r="U72" s="5">
        <f>SUM(Q72:S72)</f>
      </c>
    </row>
    <row r="73">
      <c r="A73" t="str">
        <v>MT</v>
      </c>
      <c r="B73" t="str">
        <v>Mamaearth</v>
      </c>
      <c r="C73" t="str">
        <v>Soap</v>
      </c>
      <c r="D73" t="str">
        <v>EAST</v>
      </c>
      <c r="E73">
        <v>5</v>
      </c>
      <c r="F73">
        <v>4</v>
      </c>
      <c r="G73">
        <v>5</v>
      </c>
      <c r="H73">
        <v>4</v>
      </c>
      <c r="I73">
        <v>3</v>
      </c>
      <c r="J73">
        <v>3</v>
      </c>
      <c r="K73">
        <v>3</v>
      </c>
      <c r="L73">
        <v>5</v>
      </c>
      <c r="M73">
        <v>4</v>
      </c>
      <c r="N73">
        <v>4</v>
      </c>
      <c r="O73">
        <v>4</v>
      </c>
      <c r="P73">
        <v>6</v>
      </c>
      <c r="Q73">
        <v>8</v>
      </c>
      <c r="R73">
        <v>8</v>
      </c>
      <c r="S73">
        <v>8</v>
      </c>
      <c r="T73" s="5">
        <f>SUM(E73:P73)</f>
      </c>
      <c r="U73" s="5">
        <f>SUM(Q73:S73)</f>
      </c>
    </row>
    <row r="74">
      <c r="A74" t="str">
        <v>MT</v>
      </c>
      <c r="B74" t="str">
        <v>Mamaearth</v>
      </c>
      <c r="C74" t="str">
        <v>Soap</v>
      </c>
      <c r="D74" t="str">
        <v>NORTH</v>
      </c>
      <c r="E74">
        <v>8</v>
      </c>
      <c r="F74">
        <v>8</v>
      </c>
      <c r="G74">
        <v>9</v>
      </c>
      <c r="H74">
        <v>6</v>
      </c>
      <c r="I74">
        <v>4</v>
      </c>
      <c r="J74">
        <v>4</v>
      </c>
      <c r="K74">
        <v>5</v>
      </c>
      <c r="L74">
        <v>6</v>
      </c>
      <c r="M74">
        <v>6</v>
      </c>
      <c r="N74">
        <v>6</v>
      </c>
      <c r="O74">
        <v>7</v>
      </c>
      <c r="P74">
        <v>9</v>
      </c>
      <c r="Q74">
        <v>10</v>
      </c>
      <c r="R74">
        <v>10</v>
      </c>
      <c r="S74">
        <v>10</v>
      </c>
      <c r="T74" s="5">
        <f>SUM(E74:P74)</f>
      </c>
      <c r="U74" s="5">
        <f>SUM(Q74:S74)</f>
      </c>
    </row>
    <row r="75">
      <c r="A75" t="str">
        <v>MT</v>
      </c>
      <c r="B75" t="str">
        <v>Mamaearth</v>
      </c>
      <c r="C75" t="str">
        <v>Soap</v>
      </c>
      <c r="D75" t="str">
        <v>SOUTH-1</v>
      </c>
      <c r="E75">
        <v>19</v>
      </c>
      <c r="F75">
        <v>17</v>
      </c>
      <c r="G75">
        <v>13</v>
      </c>
      <c r="H75">
        <v>10</v>
      </c>
      <c r="I75">
        <v>8</v>
      </c>
      <c r="J75">
        <v>4</v>
      </c>
      <c r="K75">
        <v>8</v>
      </c>
      <c r="L75">
        <v>10</v>
      </c>
      <c r="M75">
        <v>11</v>
      </c>
      <c r="N75">
        <v>10</v>
      </c>
      <c r="O75">
        <v>13</v>
      </c>
      <c r="P75">
        <v>16</v>
      </c>
      <c r="Q75">
        <v>19</v>
      </c>
      <c r="R75">
        <v>17</v>
      </c>
      <c r="S75">
        <v>19</v>
      </c>
      <c r="T75" s="5">
        <f>SUM(E75:P75)</f>
      </c>
      <c r="U75" s="5">
        <f>SUM(Q75:S75)</f>
      </c>
    </row>
    <row r="76">
      <c r="A76" t="str">
        <v>MT</v>
      </c>
      <c r="B76" t="str">
        <v>Mamaearth</v>
      </c>
      <c r="C76" t="str">
        <v>Soap</v>
      </c>
      <c r="D76" t="str">
        <v>SOUTH-2</v>
      </c>
      <c r="E76">
        <v>10</v>
      </c>
      <c r="F76">
        <v>7</v>
      </c>
      <c r="G76">
        <v>7</v>
      </c>
      <c r="H76">
        <v>6</v>
      </c>
      <c r="I76">
        <v>5</v>
      </c>
      <c r="J76">
        <v>3</v>
      </c>
      <c r="K76">
        <v>4</v>
      </c>
      <c r="L76">
        <v>6</v>
      </c>
      <c r="M76">
        <v>7</v>
      </c>
      <c r="N76">
        <v>7</v>
      </c>
      <c r="O76">
        <v>9</v>
      </c>
      <c r="P76">
        <v>12</v>
      </c>
      <c r="Q76">
        <v>14</v>
      </c>
      <c r="R76">
        <v>13</v>
      </c>
      <c r="S76">
        <v>12</v>
      </c>
      <c r="T76" s="5">
        <f>SUM(E76:P76)</f>
      </c>
      <c r="U76" s="5">
        <f>SUM(Q76:S76)</f>
      </c>
    </row>
    <row r="77">
      <c r="A77" t="str">
        <v>MT</v>
      </c>
      <c r="B77" t="str">
        <v>Mamaearth</v>
      </c>
      <c r="C77" t="str">
        <v>Soap</v>
      </c>
      <c r="D77" t="str">
        <v>WEST</v>
      </c>
      <c r="E77">
        <v>7</v>
      </c>
      <c r="F77">
        <v>6</v>
      </c>
      <c r="G77">
        <v>6</v>
      </c>
      <c r="H77">
        <v>4</v>
      </c>
      <c r="I77">
        <v>3</v>
      </c>
      <c r="J77">
        <v>2</v>
      </c>
      <c r="K77">
        <v>3</v>
      </c>
      <c r="L77">
        <v>4</v>
      </c>
      <c r="M77">
        <v>3</v>
      </c>
      <c r="N77">
        <v>4</v>
      </c>
      <c r="O77">
        <v>5</v>
      </c>
      <c r="P77">
        <v>6</v>
      </c>
      <c r="Q77">
        <v>6</v>
      </c>
      <c r="R77">
        <v>6</v>
      </c>
      <c r="S77">
        <v>7</v>
      </c>
      <c r="T77" s="5">
        <f>SUM(E77:P77)</f>
      </c>
      <c r="U77" s="5">
        <f>SUM(Q77:S77)</f>
      </c>
    </row>
    <row r="78">
      <c r="A78" t="str">
        <v>MT</v>
      </c>
      <c r="B78" t="str">
        <v>Mamaearth</v>
      </c>
      <c r="C78" t="str">
        <v>Hair Oil</v>
      </c>
      <c r="D78" t="str">
        <v>EAST</v>
      </c>
      <c r="E78">
        <v>5</v>
      </c>
      <c r="F78">
        <v>6</v>
      </c>
      <c r="G78">
        <v>6</v>
      </c>
      <c r="H78">
        <v>7</v>
      </c>
      <c r="I78">
        <v>7</v>
      </c>
      <c r="J78">
        <v>6</v>
      </c>
      <c r="K78">
        <v>7</v>
      </c>
      <c r="L78">
        <v>7</v>
      </c>
      <c r="M78">
        <v>7</v>
      </c>
      <c r="N78">
        <v>6</v>
      </c>
      <c r="O78">
        <v>7</v>
      </c>
      <c r="P78">
        <v>7</v>
      </c>
      <c r="Q78">
        <v>6</v>
      </c>
      <c r="R78">
        <v>7</v>
      </c>
      <c r="S78">
        <v>7</v>
      </c>
      <c r="T78" s="5">
        <f>SUM(E78:P78)</f>
      </c>
      <c r="U78" s="5">
        <f>SUM(Q78:S78)</f>
      </c>
    </row>
    <row r="79">
      <c r="A79" t="str">
        <v>MT</v>
      </c>
      <c r="B79" t="str">
        <v>Mamaearth</v>
      </c>
      <c r="C79" t="str">
        <v>Hair Oil</v>
      </c>
      <c r="D79" t="str">
        <v>NORTH</v>
      </c>
      <c r="E79">
        <v>13</v>
      </c>
      <c r="F79">
        <v>15</v>
      </c>
      <c r="G79">
        <v>15</v>
      </c>
      <c r="H79">
        <v>17</v>
      </c>
      <c r="I79">
        <v>16</v>
      </c>
      <c r="J79">
        <v>14</v>
      </c>
      <c r="K79">
        <v>15</v>
      </c>
      <c r="L79">
        <v>16</v>
      </c>
      <c r="M79">
        <v>16</v>
      </c>
      <c r="N79">
        <v>16</v>
      </c>
      <c r="O79">
        <v>16</v>
      </c>
      <c r="P79">
        <v>14</v>
      </c>
      <c r="Q79">
        <v>14</v>
      </c>
      <c r="R79">
        <v>14</v>
      </c>
      <c r="S79">
        <v>14</v>
      </c>
      <c r="T79" s="5">
        <f>SUM(E79:P79)</f>
      </c>
      <c r="U79" s="5">
        <f>SUM(Q79:S79)</f>
      </c>
    </row>
    <row r="80">
      <c r="A80" t="str">
        <v>MT</v>
      </c>
      <c r="B80" t="str">
        <v>Mamaearth</v>
      </c>
      <c r="C80" t="str">
        <v>Hair Oil</v>
      </c>
      <c r="D80" t="str">
        <v>SOUTH-1</v>
      </c>
      <c r="E80">
        <v>9</v>
      </c>
      <c r="F80">
        <v>10</v>
      </c>
      <c r="G80">
        <v>10</v>
      </c>
      <c r="H80">
        <v>10</v>
      </c>
      <c r="I80">
        <v>11</v>
      </c>
      <c r="J80">
        <v>10</v>
      </c>
      <c r="K80">
        <v>10</v>
      </c>
      <c r="L80">
        <v>9</v>
      </c>
      <c r="M80">
        <v>9</v>
      </c>
      <c r="N80">
        <v>9</v>
      </c>
      <c r="O80">
        <v>9</v>
      </c>
      <c r="P80">
        <v>9</v>
      </c>
      <c r="Q80">
        <v>8</v>
      </c>
      <c r="R80">
        <v>10</v>
      </c>
      <c r="S80">
        <v>10</v>
      </c>
      <c r="T80" s="5">
        <f>SUM(E80:P80)</f>
      </c>
      <c r="U80" s="5">
        <f>SUM(Q80:S80)</f>
      </c>
    </row>
    <row r="81">
      <c r="A81" t="str">
        <v>MT</v>
      </c>
      <c r="B81" t="str">
        <v>Mamaearth</v>
      </c>
      <c r="C81" t="str">
        <v>Hair Oil</v>
      </c>
      <c r="D81" t="str">
        <v>SOUTH-2</v>
      </c>
      <c r="E81">
        <v>10</v>
      </c>
      <c r="F81">
        <v>10</v>
      </c>
      <c r="G81">
        <v>12</v>
      </c>
      <c r="H81">
        <v>12</v>
      </c>
      <c r="I81">
        <v>10</v>
      </c>
      <c r="J81">
        <v>9</v>
      </c>
      <c r="K81">
        <v>11</v>
      </c>
      <c r="L81">
        <v>11</v>
      </c>
      <c r="M81">
        <v>11</v>
      </c>
      <c r="N81">
        <v>10</v>
      </c>
      <c r="O81">
        <v>10</v>
      </c>
      <c r="P81">
        <v>11</v>
      </c>
      <c r="Q81">
        <v>9</v>
      </c>
      <c r="R81">
        <v>11</v>
      </c>
      <c r="S81">
        <v>11</v>
      </c>
      <c r="T81" s="5">
        <f>SUM(E81:P81)</f>
      </c>
      <c r="U81" s="5">
        <f>SUM(Q81:S81)</f>
      </c>
    </row>
    <row r="82">
      <c r="A82" t="str">
        <v>MT</v>
      </c>
      <c r="B82" t="str">
        <v>Mamaearth</v>
      </c>
      <c r="C82" t="str">
        <v>Hair Oil</v>
      </c>
      <c r="D82" t="str">
        <v>WEST</v>
      </c>
      <c r="E82">
        <v>15</v>
      </c>
      <c r="F82">
        <v>16</v>
      </c>
      <c r="G82">
        <v>16</v>
      </c>
      <c r="H82">
        <v>16</v>
      </c>
      <c r="I82">
        <v>16</v>
      </c>
      <c r="J82">
        <v>15</v>
      </c>
      <c r="K82">
        <v>17</v>
      </c>
      <c r="L82">
        <v>15</v>
      </c>
      <c r="M82">
        <v>15</v>
      </c>
      <c r="N82">
        <v>14</v>
      </c>
      <c r="O82">
        <v>13</v>
      </c>
      <c r="P82">
        <v>13</v>
      </c>
      <c r="Q82">
        <v>12</v>
      </c>
      <c r="R82">
        <v>13</v>
      </c>
      <c r="S82">
        <v>13</v>
      </c>
      <c r="T82" s="5">
        <f>SUM(E82:P82)</f>
      </c>
      <c r="U82" s="5">
        <f>SUM(Q82:S82)</f>
      </c>
    </row>
    <row r="83">
      <c r="A83" t="str">
        <v>MT</v>
      </c>
      <c r="B83" t="str">
        <v>Mamaearth</v>
      </c>
      <c r="C83" t="str">
        <v>Baby Body Wash</v>
      </c>
      <c r="D83" t="str">
        <v>EAST</v>
      </c>
      <c r="E83">
        <v>4</v>
      </c>
      <c r="F83">
        <v>4</v>
      </c>
      <c r="G83">
        <v>4</v>
      </c>
      <c r="H83">
        <v>4</v>
      </c>
      <c r="I83">
        <v>4</v>
      </c>
      <c r="J83">
        <v>4</v>
      </c>
      <c r="K83">
        <v>4</v>
      </c>
      <c r="L83">
        <v>4</v>
      </c>
      <c r="M83">
        <v>3</v>
      </c>
      <c r="N83">
        <v>4</v>
      </c>
      <c r="O83">
        <v>4</v>
      </c>
      <c r="P83">
        <v>4</v>
      </c>
      <c r="Q83">
        <v>4</v>
      </c>
      <c r="R83">
        <v>4</v>
      </c>
      <c r="S83">
        <v>5</v>
      </c>
      <c r="T83" s="5">
        <f>SUM(E83:P83)</f>
      </c>
      <c r="U83" s="5">
        <f>SUM(Q83:S83)</f>
      </c>
    </row>
    <row r="84">
      <c r="A84" t="str">
        <v>MT</v>
      </c>
      <c r="B84" t="str">
        <v>Mamaearth</v>
      </c>
      <c r="C84" t="str">
        <v>Baby Body Wash</v>
      </c>
      <c r="D84" t="str">
        <v>NORTH</v>
      </c>
      <c r="E84">
        <v>5</v>
      </c>
      <c r="F84">
        <v>6</v>
      </c>
      <c r="G84">
        <v>5</v>
      </c>
      <c r="H84">
        <v>6</v>
      </c>
      <c r="I84">
        <v>7</v>
      </c>
      <c r="J84">
        <v>6</v>
      </c>
      <c r="K84">
        <v>7</v>
      </c>
      <c r="L84">
        <v>7</v>
      </c>
      <c r="M84">
        <v>7</v>
      </c>
      <c r="N84">
        <v>6</v>
      </c>
      <c r="O84">
        <v>6</v>
      </c>
      <c r="P84">
        <v>6</v>
      </c>
      <c r="Q84">
        <v>7</v>
      </c>
      <c r="R84">
        <v>7</v>
      </c>
      <c r="S84">
        <v>7</v>
      </c>
      <c r="T84" s="5">
        <f>SUM(E84:P84)</f>
      </c>
      <c r="U84" s="5">
        <f>SUM(Q84:S84)</f>
      </c>
    </row>
    <row r="85">
      <c r="A85" t="str">
        <v>MT</v>
      </c>
      <c r="B85" t="str">
        <v>Mamaearth</v>
      </c>
      <c r="C85" t="str">
        <v>Baby Body Wash</v>
      </c>
      <c r="D85" t="str">
        <v>SOUTH-1</v>
      </c>
      <c r="E85">
        <v>7</v>
      </c>
      <c r="F85">
        <v>8</v>
      </c>
      <c r="G85">
        <v>8</v>
      </c>
      <c r="H85">
        <v>9</v>
      </c>
      <c r="I85">
        <v>10</v>
      </c>
      <c r="J85">
        <v>9</v>
      </c>
      <c r="K85">
        <v>9</v>
      </c>
      <c r="L85">
        <v>9</v>
      </c>
      <c r="M85">
        <v>9</v>
      </c>
      <c r="N85">
        <v>9</v>
      </c>
      <c r="O85">
        <v>9</v>
      </c>
      <c r="P85">
        <v>9</v>
      </c>
      <c r="Q85">
        <v>9</v>
      </c>
      <c r="R85">
        <v>10</v>
      </c>
      <c r="S85">
        <v>10</v>
      </c>
      <c r="T85" s="5">
        <f>SUM(E85:P85)</f>
      </c>
      <c r="U85" s="5">
        <f>SUM(Q85:S85)</f>
      </c>
    </row>
    <row r="86">
      <c r="A86" t="str">
        <v>MT</v>
      </c>
      <c r="B86" t="str">
        <v>Mamaearth</v>
      </c>
      <c r="C86" t="str">
        <v>Baby Body Wash</v>
      </c>
      <c r="D86" t="str">
        <v>SOUTH-2</v>
      </c>
      <c r="E86">
        <v>4</v>
      </c>
      <c r="F86">
        <v>4</v>
      </c>
      <c r="G86">
        <v>4</v>
      </c>
      <c r="H86">
        <v>4</v>
      </c>
      <c r="I86">
        <v>4</v>
      </c>
      <c r="J86">
        <v>5</v>
      </c>
      <c r="K86">
        <v>5</v>
      </c>
      <c r="L86">
        <v>6</v>
      </c>
      <c r="M86">
        <v>6</v>
      </c>
      <c r="N86">
        <v>6</v>
      </c>
      <c r="O86">
        <v>6</v>
      </c>
      <c r="P86">
        <v>5</v>
      </c>
      <c r="Q86">
        <v>5</v>
      </c>
      <c r="R86">
        <v>6</v>
      </c>
      <c r="S86">
        <v>5</v>
      </c>
      <c r="T86" s="5">
        <f>SUM(E86:P86)</f>
      </c>
      <c r="U86" s="5">
        <f>SUM(Q86:S86)</f>
      </c>
    </row>
    <row r="87">
      <c r="A87" t="str">
        <v>MT</v>
      </c>
      <c r="B87" t="str">
        <v>Mamaearth</v>
      </c>
      <c r="C87" t="str">
        <v>Baby Body Wash</v>
      </c>
      <c r="D87" t="str">
        <v>WEST</v>
      </c>
      <c r="E87">
        <v>6</v>
      </c>
      <c r="F87">
        <v>4</v>
      </c>
      <c r="G87">
        <v>4</v>
      </c>
      <c r="H87">
        <v>4</v>
      </c>
      <c r="I87">
        <v>4</v>
      </c>
      <c r="J87">
        <v>4</v>
      </c>
      <c r="K87">
        <v>4</v>
      </c>
      <c r="L87">
        <v>5</v>
      </c>
      <c r="M87">
        <v>4</v>
      </c>
      <c r="N87">
        <v>4</v>
      </c>
      <c r="O87">
        <v>4</v>
      </c>
      <c r="P87">
        <v>4</v>
      </c>
      <c r="Q87">
        <v>4</v>
      </c>
      <c r="R87">
        <v>4</v>
      </c>
      <c r="S87">
        <v>4</v>
      </c>
      <c r="T87" s="5">
        <f>SUM(E87:P87)</f>
      </c>
      <c r="U87" s="5">
        <f>SUM(Q87:S87)</f>
      </c>
    </row>
    <row r="88">
      <c r="A88" t="str">
        <v>MT</v>
      </c>
      <c r="B88" t="str">
        <v>Mamaearth</v>
      </c>
      <c r="C88" t="str">
        <v>Conditioner</v>
      </c>
      <c r="D88" t="str">
        <v>EAST</v>
      </c>
      <c r="E88">
        <v>4</v>
      </c>
      <c r="F88">
        <v>6</v>
      </c>
      <c r="G88">
        <v>5</v>
      </c>
      <c r="H88">
        <v>5</v>
      </c>
      <c r="I88">
        <v>5</v>
      </c>
      <c r="J88">
        <v>5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 s="5">
        <f>SUM(E88:P88)</f>
      </c>
      <c r="U88" s="5">
        <f>SUM(Q88:S88)</f>
      </c>
    </row>
    <row r="89">
      <c r="A89" t="str">
        <v>MT</v>
      </c>
      <c r="B89" t="str">
        <v>Mamaearth</v>
      </c>
      <c r="C89" t="str">
        <v>Conditioner</v>
      </c>
      <c r="D89" t="str">
        <v>NORTH</v>
      </c>
      <c r="E89">
        <v>9</v>
      </c>
      <c r="F89">
        <v>9</v>
      </c>
      <c r="G89">
        <v>9</v>
      </c>
      <c r="H89">
        <v>10</v>
      </c>
      <c r="I89">
        <v>10</v>
      </c>
      <c r="J89">
        <v>8</v>
      </c>
      <c r="K89">
        <v>10</v>
      </c>
      <c r="L89">
        <v>9</v>
      </c>
      <c r="M89">
        <v>9</v>
      </c>
      <c r="N89">
        <v>7</v>
      </c>
      <c r="O89">
        <v>5</v>
      </c>
      <c r="P89">
        <v>5</v>
      </c>
      <c r="Q89">
        <v>6</v>
      </c>
      <c r="R89">
        <v>7</v>
      </c>
      <c r="S89">
        <v>6</v>
      </c>
      <c r="T89" s="5">
        <f>SUM(E89:P89)</f>
      </c>
      <c r="U89" s="5">
        <f>SUM(Q89:S89)</f>
      </c>
    </row>
    <row r="90">
      <c r="A90" t="str">
        <v>MT</v>
      </c>
      <c r="B90" t="str">
        <v>Mamaearth</v>
      </c>
      <c r="C90" t="str">
        <v>Conditioner</v>
      </c>
      <c r="D90" t="str">
        <v>SOUTH-1</v>
      </c>
      <c r="E90">
        <v>9</v>
      </c>
      <c r="F90">
        <v>10</v>
      </c>
      <c r="G90">
        <v>9</v>
      </c>
      <c r="H90">
        <v>9</v>
      </c>
      <c r="I90">
        <v>10</v>
      </c>
      <c r="J90">
        <v>9</v>
      </c>
      <c r="K90">
        <v>9</v>
      </c>
      <c r="L90">
        <v>8</v>
      </c>
      <c r="M90">
        <v>8</v>
      </c>
      <c r="N90">
        <v>7</v>
      </c>
      <c r="O90">
        <v>5</v>
      </c>
      <c r="P90">
        <v>4</v>
      </c>
      <c r="Q90">
        <v>4</v>
      </c>
      <c r="R90">
        <v>6</v>
      </c>
      <c r="S90">
        <v>6</v>
      </c>
      <c r="T90" s="5">
        <f>SUM(E90:P90)</f>
      </c>
      <c r="U90" s="5">
        <f>SUM(Q90:S90)</f>
      </c>
    </row>
    <row r="91">
      <c r="A91" t="str">
        <v>MT</v>
      </c>
      <c r="B91" t="str">
        <v>Mamaearth</v>
      </c>
      <c r="C91" t="str">
        <v>Conditioner</v>
      </c>
      <c r="D91" t="str">
        <v>SOUTH-2</v>
      </c>
      <c r="E91">
        <v>4</v>
      </c>
      <c r="F91">
        <v>4</v>
      </c>
      <c r="G91">
        <v>5</v>
      </c>
      <c r="H91">
        <v>4</v>
      </c>
      <c r="I91">
        <v>3</v>
      </c>
      <c r="J91">
        <v>3</v>
      </c>
      <c r="K91">
        <v>4</v>
      </c>
      <c r="L91">
        <v>3</v>
      </c>
      <c r="M91">
        <v>3</v>
      </c>
      <c r="N91">
        <v>3</v>
      </c>
      <c r="O91">
        <v>2</v>
      </c>
      <c r="P91">
        <v>1</v>
      </c>
      <c r="Q91">
        <v>1</v>
      </c>
      <c r="R91">
        <v>1</v>
      </c>
      <c r="S91">
        <v>1</v>
      </c>
      <c r="T91" s="5">
        <f>SUM(E91:P91)</f>
      </c>
      <c r="U91" s="5">
        <f>SUM(Q91:S91)</f>
      </c>
    </row>
    <row r="92">
      <c r="A92" t="str">
        <v>MT</v>
      </c>
      <c r="B92" t="str">
        <v>Mamaearth</v>
      </c>
      <c r="C92" t="str">
        <v>Conditioner</v>
      </c>
      <c r="D92" t="str">
        <v>WEST</v>
      </c>
      <c r="E92">
        <v>11</v>
      </c>
      <c r="F92">
        <v>13</v>
      </c>
      <c r="G92">
        <v>13</v>
      </c>
      <c r="H92">
        <v>12</v>
      </c>
      <c r="I92">
        <v>13</v>
      </c>
      <c r="J92">
        <v>11</v>
      </c>
      <c r="K92">
        <v>14</v>
      </c>
      <c r="L92">
        <v>13</v>
      </c>
      <c r="M92">
        <v>11</v>
      </c>
      <c r="N92">
        <v>8</v>
      </c>
      <c r="O92">
        <v>4</v>
      </c>
      <c r="P92">
        <v>4</v>
      </c>
      <c r="Q92">
        <v>3</v>
      </c>
      <c r="R92">
        <v>4</v>
      </c>
      <c r="S92">
        <v>3</v>
      </c>
      <c r="T92" s="5">
        <f>SUM(E92:P92)</f>
      </c>
      <c r="U92" s="5">
        <f>SUM(Q92:S92)</f>
      </c>
    </row>
    <row r="93">
      <c r="A93" t="str">
        <v>MT</v>
      </c>
      <c r="B93" t="str">
        <v>Mamaearth</v>
      </c>
      <c r="C93" t="str">
        <v>Oral</v>
      </c>
      <c r="D93" t="str">
        <v>EAST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2</v>
      </c>
      <c r="R93">
        <v>2</v>
      </c>
      <c r="S93">
        <v>2</v>
      </c>
      <c r="T93" s="5">
        <f>SUM(E93:P93)</f>
      </c>
      <c r="U93" s="5">
        <f>SUM(Q93:S93)</f>
      </c>
    </row>
    <row r="94">
      <c r="A94" t="str">
        <v>MT</v>
      </c>
      <c r="B94" t="str">
        <v>Mamaearth</v>
      </c>
      <c r="C94" t="str">
        <v>Oral</v>
      </c>
      <c r="D94" t="str">
        <v>NORTH</v>
      </c>
      <c r="E94">
        <v>2</v>
      </c>
      <c r="F94">
        <v>2</v>
      </c>
      <c r="G94">
        <v>2</v>
      </c>
      <c r="H94">
        <v>2</v>
      </c>
      <c r="I94">
        <v>2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2</v>
      </c>
      <c r="R94">
        <v>2</v>
      </c>
      <c r="S94">
        <v>2</v>
      </c>
      <c r="T94" s="5">
        <f>SUM(E94:P94)</f>
      </c>
      <c r="U94" s="5">
        <f>SUM(Q94:S94)</f>
      </c>
    </row>
    <row r="95">
      <c r="A95" t="str">
        <v>MT</v>
      </c>
      <c r="B95" t="str">
        <v>Mamaearth</v>
      </c>
      <c r="C95" t="str">
        <v>Oral</v>
      </c>
      <c r="D95" t="str">
        <v>SOUTH-1</v>
      </c>
      <c r="E95">
        <v>3</v>
      </c>
      <c r="F95">
        <v>3</v>
      </c>
      <c r="G95">
        <v>3</v>
      </c>
      <c r="H95">
        <v>3</v>
      </c>
      <c r="I95">
        <v>3</v>
      </c>
      <c r="J95">
        <v>3</v>
      </c>
      <c r="K95">
        <v>3</v>
      </c>
      <c r="L95">
        <v>3</v>
      </c>
      <c r="M95">
        <v>3</v>
      </c>
      <c r="N95">
        <v>4</v>
      </c>
      <c r="O95">
        <v>3</v>
      </c>
      <c r="P95">
        <v>4</v>
      </c>
      <c r="Q95">
        <v>4</v>
      </c>
      <c r="R95">
        <v>5</v>
      </c>
      <c r="S95">
        <v>6</v>
      </c>
      <c r="T95" s="5">
        <f>SUM(E95:P95)</f>
      </c>
      <c r="U95" s="5">
        <f>SUM(Q95:S95)</f>
      </c>
    </row>
    <row r="96">
      <c r="A96" t="str">
        <v>MT</v>
      </c>
      <c r="B96" t="str">
        <v>Mamaearth</v>
      </c>
      <c r="C96" t="str">
        <v>Oral</v>
      </c>
      <c r="D96" t="str">
        <v>SOUTH-2</v>
      </c>
      <c r="E96">
        <v>2</v>
      </c>
      <c r="F96">
        <v>3</v>
      </c>
      <c r="G96">
        <v>3</v>
      </c>
      <c r="H96">
        <v>3</v>
      </c>
      <c r="I96">
        <v>3</v>
      </c>
      <c r="J96">
        <v>2</v>
      </c>
      <c r="K96">
        <v>2</v>
      </c>
      <c r="L96">
        <v>2</v>
      </c>
      <c r="M96">
        <v>2</v>
      </c>
      <c r="N96">
        <v>3</v>
      </c>
      <c r="O96">
        <v>2</v>
      </c>
      <c r="P96">
        <v>3</v>
      </c>
      <c r="Q96">
        <v>3</v>
      </c>
      <c r="R96">
        <v>3</v>
      </c>
      <c r="S96">
        <v>4</v>
      </c>
      <c r="T96" s="5">
        <f>SUM(E96:P96)</f>
      </c>
      <c r="U96" s="5">
        <f>SUM(Q96:S96)</f>
      </c>
    </row>
    <row r="97">
      <c r="A97" t="str">
        <v>MT</v>
      </c>
      <c r="B97" t="str">
        <v>Mamaearth</v>
      </c>
      <c r="C97" t="str">
        <v>Oral</v>
      </c>
      <c r="D97" t="str">
        <v>WEST</v>
      </c>
      <c r="E97">
        <v>2</v>
      </c>
      <c r="F97">
        <v>2</v>
      </c>
      <c r="G97">
        <v>2</v>
      </c>
      <c r="H97">
        <v>2</v>
      </c>
      <c r="I97">
        <v>2</v>
      </c>
      <c r="J97">
        <v>1</v>
      </c>
      <c r="K97">
        <v>2</v>
      </c>
      <c r="L97">
        <v>2</v>
      </c>
      <c r="M97">
        <v>1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 s="5">
        <f>SUM(E97:P97)</f>
      </c>
      <c r="U97" s="5">
        <f>SUM(Q97:S97)</f>
      </c>
    </row>
    <row r="98">
      <c r="A98" t="str">
        <v>MT</v>
      </c>
      <c r="B98" t="str">
        <v>Mamaearth</v>
      </c>
      <c r="C98" t="str">
        <v>Dusting Powder</v>
      </c>
      <c r="D98" t="str">
        <v>EAST</v>
      </c>
      <c r="E98">
        <v>1</v>
      </c>
      <c r="F98">
        <v>1</v>
      </c>
      <c r="G98">
        <v>1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1</v>
      </c>
      <c r="Q98">
        <v>0</v>
      </c>
      <c r="R98">
        <v>1</v>
      </c>
      <c r="S98">
        <v>1</v>
      </c>
      <c r="T98" s="5">
        <f>SUM(E98:P98)</f>
      </c>
      <c r="U98" s="5">
        <f>SUM(Q98:S98)</f>
      </c>
    </row>
    <row r="99">
      <c r="A99" t="str">
        <v>MT</v>
      </c>
      <c r="B99" t="str">
        <v>Mamaearth</v>
      </c>
      <c r="C99" t="str">
        <v>Dusting Powder</v>
      </c>
      <c r="D99" t="str">
        <v>NORTH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0</v>
      </c>
      <c r="N99">
        <v>0</v>
      </c>
      <c r="O99">
        <v>2</v>
      </c>
      <c r="P99">
        <v>2</v>
      </c>
      <c r="Q99">
        <v>1</v>
      </c>
      <c r="R99">
        <v>1</v>
      </c>
      <c r="S99">
        <v>2</v>
      </c>
      <c r="T99" s="5">
        <f>SUM(E99:P99)</f>
      </c>
      <c r="U99" s="5">
        <f>SUM(Q99:S99)</f>
      </c>
    </row>
    <row r="100">
      <c r="A100" t="str">
        <v>MT</v>
      </c>
      <c r="B100" t="str">
        <v>Mamaearth</v>
      </c>
      <c r="C100" t="str">
        <v>Dusting Powder</v>
      </c>
      <c r="D100" t="str">
        <v>SOUTH-1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3</v>
      </c>
      <c r="S100">
        <v>4</v>
      </c>
      <c r="T100" s="5">
        <f>SUM(E100:P100)</f>
      </c>
      <c r="U100" s="5">
        <f>SUM(Q100:S100)</f>
      </c>
    </row>
    <row r="101">
      <c r="A101" t="str">
        <v>MT</v>
      </c>
      <c r="B101" t="str">
        <v>Mamaearth</v>
      </c>
      <c r="C101" t="str">
        <v>Dusting Powder</v>
      </c>
      <c r="D101" t="str">
        <v>SOUTH-2</v>
      </c>
      <c r="E101">
        <v>4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3</v>
      </c>
      <c r="N101">
        <v>3</v>
      </c>
      <c r="O101">
        <v>3</v>
      </c>
      <c r="P101">
        <v>3</v>
      </c>
      <c r="Q101">
        <v>3</v>
      </c>
      <c r="R101">
        <v>4</v>
      </c>
      <c r="S101">
        <v>4</v>
      </c>
      <c r="T101" s="5">
        <f>SUM(E101:P101)</f>
      </c>
      <c r="U101" s="5">
        <f>SUM(Q101:S101)</f>
      </c>
    </row>
    <row r="102">
      <c r="A102" t="str">
        <v>MT</v>
      </c>
      <c r="B102" t="str">
        <v>Mamaearth</v>
      </c>
      <c r="C102" t="str">
        <v>Dusting Powder</v>
      </c>
      <c r="D102" t="str">
        <v>WEST</v>
      </c>
      <c r="E102">
        <v>2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 s="5">
        <f>SUM(E102:P102)</f>
      </c>
      <c r="U102" s="5">
        <f>SUM(Q102:S102)</f>
      </c>
    </row>
    <row r="103">
      <c r="A103" t="str">
        <v>MT</v>
      </c>
      <c r="B103" t="str">
        <v>Mamaearth</v>
      </c>
      <c r="C103" t="str">
        <v>Face Scrub</v>
      </c>
      <c r="D103" t="str">
        <v>EAST</v>
      </c>
      <c r="E103">
        <v>2</v>
      </c>
      <c r="F103">
        <v>4</v>
      </c>
      <c r="G103">
        <v>3</v>
      </c>
      <c r="H103">
        <v>3</v>
      </c>
      <c r="I103">
        <v>3</v>
      </c>
      <c r="J103">
        <v>3</v>
      </c>
      <c r="K103">
        <v>4</v>
      </c>
      <c r="L103">
        <v>3</v>
      </c>
      <c r="M103">
        <v>3</v>
      </c>
      <c r="N103">
        <v>3</v>
      </c>
      <c r="O103">
        <v>3</v>
      </c>
      <c r="P103">
        <v>3</v>
      </c>
      <c r="Q103">
        <v>2</v>
      </c>
      <c r="R103">
        <v>1</v>
      </c>
      <c r="S103">
        <v>1</v>
      </c>
      <c r="T103" s="5">
        <f>SUM(E103:P103)</f>
      </c>
      <c r="U103" s="5">
        <f>SUM(Q103:S103)</f>
      </c>
    </row>
    <row r="104">
      <c r="A104" t="str">
        <v>MT</v>
      </c>
      <c r="B104" t="str">
        <v>Mamaearth</v>
      </c>
      <c r="C104" t="str">
        <v>Face Scrub</v>
      </c>
      <c r="D104" t="str">
        <v>NORTH</v>
      </c>
      <c r="E104">
        <v>5</v>
      </c>
      <c r="F104">
        <v>7</v>
      </c>
      <c r="G104">
        <v>6</v>
      </c>
      <c r="H104">
        <v>6</v>
      </c>
      <c r="I104">
        <v>6</v>
      </c>
      <c r="J104">
        <v>5</v>
      </c>
      <c r="K104">
        <v>6</v>
      </c>
      <c r="L104">
        <v>5</v>
      </c>
      <c r="M104">
        <v>4</v>
      </c>
      <c r="N104">
        <v>4</v>
      </c>
      <c r="O104">
        <v>4</v>
      </c>
      <c r="P104">
        <v>4</v>
      </c>
      <c r="Q104">
        <v>3</v>
      </c>
      <c r="R104">
        <v>2</v>
      </c>
      <c r="S104">
        <v>2</v>
      </c>
      <c r="T104" s="5">
        <f>SUM(E104:P104)</f>
      </c>
      <c r="U104" s="5">
        <f>SUM(Q104:S104)</f>
      </c>
    </row>
    <row r="105">
      <c r="A105" t="str">
        <v>MT</v>
      </c>
      <c r="B105" t="str">
        <v>Mamaearth</v>
      </c>
      <c r="C105" t="str">
        <v>Face Scrub</v>
      </c>
      <c r="D105" t="str">
        <v>SOUTH-1</v>
      </c>
      <c r="E105">
        <v>2</v>
      </c>
      <c r="F105">
        <v>3</v>
      </c>
      <c r="G105">
        <v>2</v>
      </c>
      <c r="H105">
        <v>2</v>
      </c>
      <c r="I105">
        <v>3</v>
      </c>
      <c r="J105">
        <v>3</v>
      </c>
      <c r="K105">
        <v>3</v>
      </c>
      <c r="L105">
        <v>2</v>
      </c>
      <c r="M105">
        <v>3</v>
      </c>
      <c r="N105">
        <v>2</v>
      </c>
      <c r="O105">
        <v>2</v>
      </c>
      <c r="P105">
        <v>2</v>
      </c>
      <c r="Q105">
        <v>1</v>
      </c>
      <c r="R105">
        <v>1</v>
      </c>
      <c r="S105">
        <v>1</v>
      </c>
      <c r="T105" s="5">
        <f>SUM(E105:P105)</f>
      </c>
      <c r="U105" s="5">
        <f>SUM(Q105:S105)</f>
      </c>
    </row>
    <row r="106">
      <c r="A106" t="str">
        <v>MT</v>
      </c>
      <c r="B106" t="str">
        <v>Mamaearth</v>
      </c>
      <c r="C106" t="str">
        <v>Face Scrub</v>
      </c>
      <c r="D106" t="str">
        <v>SOUTH-2</v>
      </c>
      <c r="E106">
        <v>2</v>
      </c>
      <c r="F106">
        <v>2</v>
      </c>
      <c r="G106">
        <v>2</v>
      </c>
      <c r="H106">
        <v>2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 s="5">
        <f>SUM(E106:P106)</f>
      </c>
      <c r="U106" s="5">
        <f>SUM(Q106:S106)</f>
      </c>
    </row>
    <row r="107">
      <c r="A107" t="str">
        <v>MT</v>
      </c>
      <c r="B107" t="str">
        <v>Mamaearth</v>
      </c>
      <c r="C107" t="str">
        <v>Face Scrub</v>
      </c>
      <c r="D107" t="str">
        <v>WEST</v>
      </c>
      <c r="E107">
        <v>3</v>
      </c>
      <c r="F107">
        <v>3</v>
      </c>
      <c r="G107">
        <v>3</v>
      </c>
      <c r="H107">
        <v>2</v>
      </c>
      <c r="I107">
        <v>2</v>
      </c>
      <c r="J107">
        <v>2</v>
      </c>
      <c r="K107">
        <v>3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1</v>
      </c>
      <c r="T107" s="5">
        <f>SUM(E107:P107)</f>
      </c>
      <c r="U107" s="5">
        <f>SUM(Q107:S107)</f>
      </c>
    </row>
    <row r="108">
      <c r="A108" t="str">
        <v>MT</v>
      </c>
      <c r="B108" t="str">
        <v>Mamaearth</v>
      </c>
      <c r="C108" t="str">
        <v>Face Cream</v>
      </c>
      <c r="D108" t="str">
        <v>EAST</v>
      </c>
      <c r="E108">
        <v>1</v>
      </c>
      <c r="F108">
        <v>2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1</v>
      </c>
      <c r="Q108">
        <v>1</v>
      </c>
      <c r="R108">
        <v>2</v>
      </c>
      <c r="S108">
        <v>1</v>
      </c>
      <c r="T108" s="5">
        <f>SUM(E108:P108)</f>
      </c>
      <c r="U108" s="5">
        <f>SUM(Q108:S108)</f>
      </c>
    </row>
    <row r="109">
      <c r="A109" t="str">
        <v>MT</v>
      </c>
      <c r="B109" t="str">
        <v>Mamaearth</v>
      </c>
      <c r="C109" t="str">
        <v>Face Cream</v>
      </c>
      <c r="D109" t="str">
        <v>NORTH</v>
      </c>
      <c r="E109">
        <v>3</v>
      </c>
      <c r="F109">
        <v>3</v>
      </c>
      <c r="G109">
        <v>2</v>
      </c>
      <c r="H109">
        <v>3</v>
      </c>
      <c r="I109">
        <v>3</v>
      </c>
      <c r="J109">
        <v>2</v>
      </c>
      <c r="K109">
        <v>3</v>
      </c>
      <c r="L109">
        <v>3</v>
      </c>
      <c r="M109">
        <v>3</v>
      </c>
      <c r="N109">
        <v>2</v>
      </c>
      <c r="O109">
        <v>3</v>
      </c>
      <c r="P109">
        <v>2</v>
      </c>
      <c r="Q109">
        <v>2</v>
      </c>
      <c r="R109">
        <v>1</v>
      </c>
      <c r="S109">
        <v>1</v>
      </c>
      <c r="T109" s="5">
        <f>SUM(E109:P109)</f>
      </c>
      <c r="U109" s="5">
        <f>SUM(Q109:S109)</f>
      </c>
    </row>
    <row r="110">
      <c r="A110" t="str">
        <v>MT</v>
      </c>
      <c r="B110" t="str">
        <v>Mamaearth</v>
      </c>
      <c r="C110" t="str">
        <v>Face Cream</v>
      </c>
      <c r="D110" t="str">
        <v>SOUTH-1</v>
      </c>
      <c r="E110">
        <v>3</v>
      </c>
      <c r="F110">
        <v>3</v>
      </c>
      <c r="G110">
        <v>3</v>
      </c>
      <c r="H110">
        <v>2</v>
      </c>
      <c r="I110">
        <v>3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3</v>
      </c>
      <c r="P110">
        <v>2</v>
      </c>
      <c r="Q110">
        <v>2</v>
      </c>
      <c r="R110">
        <v>2</v>
      </c>
      <c r="S110">
        <v>2</v>
      </c>
      <c r="T110" s="5">
        <f>SUM(E110:P110)</f>
      </c>
      <c r="U110" s="5">
        <f>SUM(Q110:S110)</f>
      </c>
    </row>
    <row r="111">
      <c r="A111" t="str">
        <v>MT</v>
      </c>
      <c r="B111" t="str">
        <v>Mamaearth</v>
      </c>
      <c r="C111" t="str">
        <v>Face Cream</v>
      </c>
      <c r="D111" t="str">
        <v>SOUTH-2</v>
      </c>
      <c r="E111">
        <v>2</v>
      </c>
      <c r="F111">
        <v>2</v>
      </c>
      <c r="G111">
        <v>2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 s="5">
        <f>SUM(E111:P111)</f>
      </c>
      <c r="U111" s="5">
        <f>SUM(Q111:S111)</f>
      </c>
    </row>
    <row r="112">
      <c r="A112" t="str">
        <v>MT</v>
      </c>
      <c r="B112" t="str">
        <v>Mamaearth</v>
      </c>
      <c r="C112" t="str">
        <v>Face Cream</v>
      </c>
      <c r="D112" t="str">
        <v>WEST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 s="5">
        <f>SUM(E112:P112)</f>
      </c>
      <c r="U112" s="5">
        <f>SUM(Q112:S112)</f>
      </c>
    </row>
    <row r="113">
      <c r="A113" t="str">
        <v>MT</v>
      </c>
      <c r="B113" t="str">
        <v>Mamaearth</v>
      </c>
      <c r="C113" t="str">
        <v>Face Masks</v>
      </c>
      <c r="D113" t="str">
        <v>EAST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2</v>
      </c>
      <c r="N113">
        <v>2</v>
      </c>
      <c r="O113">
        <v>1</v>
      </c>
      <c r="P113">
        <v>0</v>
      </c>
      <c r="Q113">
        <v>1</v>
      </c>
      <c r="R113">
        <v>1</v>
      </c>
      <c r="S113">
        <v>1</v>
      </c>
      <c r="T113" s="5">
        <f>SUM(E113:P113)</f>
      </c>
      <c r="U113" s="5">
        <f>SUM(Q113:S113)</f>
      </c>
    </row>
    <row r="114">
      <c r="A114" t="str">
        <v>MT</v>
      </c>
      <c r="B114" t="str">
        <v>Mamaearth</v>
      </c>
      <c r="C114" t="str">
        <v>Face Masks</v>
      </c>
      <c r="D114" t="str">
        <v>NORTH</v>
      </c>
      <c r="E114">
        <v>2</v>
      </c>
      <c r="F114">
        <v>2</v>
      </c>
      <c r="G114">
        <v>2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2</v>
      </c>
      <c r="N114">
        <v>2</v>
      </c>
      <c r="O114">
        <v>3</v>
      </c>
      <c r="P114">
        <v>2</v>
      </c>
      <c r="Q114">
        <v>2</v>
      </c>
      <c r="R114">
        <v>2</v>
      </c>
      <c r="S114">
        <v>2</v>
      </c>
      <c r="T114" s="5">
        <f>SUM(E114:P114)</f>
      </c>
      <c r="U114" s="5">
        <f>SUM(Q114:S114)</f>
      </c>
    </row>
    <row r="115">
      <c r="A115" t="str">
        <v>MT</v>
      </c>
      <c r="B115" t="str">
        <v>Mamaearth</v>
      </c>
      <c r="C115" t="str">
        <v>Face Masks</v>
      </c>
      <c r="D115" t="str">
        <v>SOUTH-1</v>
      </c>
      <c r="E115">
        <v>2</v>
      </c>
      <c r="F115">
        <v>2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 s="5">
        <f>SUM(E115:P115)</f>
      </c>
      <c r="U115" s="5">
        <f>SUM(Q115:S115)</f>
      </c>
    </row>
    <row r="116">
      <c r="A116" t="str">
        <v>MT</v>
      </c>
      <c r="B116" t="str">
        <v>Mamaearth</v>
      </c>
      <c r="C116" t="str">
        <v>Face Masks</v>
      </c>
      <c r="D116" t="str">
        <v>SOUTH-2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1</v>
      </c>
      <c r="R116">
        <v>1</v>
      </c>
      <c r="S116">
        <v>1</v>
      </c>
      <c r="T116" s="5">
        <f>SUM(E116:P116)</f>
      </c>
      <c r="U116" s="5">
        <f>SUM(Q116:S116)</f>
      </c>
    </row>
    <row r="117">
      <c r="A117" t="str">
        <v>MT</v>
      </c>
      <c r="B117" t="str">
        <v>Mamaearth</v>
      </c>
      <c r="C117" t="str">
        <v>Face Masks</v>
      </c>
      <c r="D117" t="str">
        <v>WEST</v>
      </c>
      <c r="E117">
        <v>3</v>
      </c>
      <c r="F117">
        <v>3</v>
      </c>
      <c r="G117">
        <v>2</v>
      </c>
      <c r="H117">
        <v>2</v>
      </c>
      <c r="I117">
        <v>2</v>
      </c>
      <c r="J117">
        <v>1</v>
      </c>
      <c r="K117">
        <v>2</v>
      </c>
      <c r="L117">
        <v>2</v>
      </c>
      <c r="M117">
        <v>2</v>
      </c>
      <c r="N117">
        <v>1</v>
      </c>
      <c r="O117">
        <v>2</v>
      </c>
      <c r="P117">
        <v>1</v>
      </c>
      <c r="Q117">
        <v>2</v>
      </c>
      <c r="R117">
        <v>2</v>
      </c>
      <c r="S117">
        <v>1</v>
      </c>
      <c r="T117" s="5">
        <f>SUM(E117:P117)</f>
      </c>
      <c r="U117" s="5">
        <f>SUM(Q117:S117)</f>
      </c>
    </row>
    <row r="118">
      <c r="A118" t="str">
        <v>MT</v>
      </c>
      <c r="B118" t="str">
        <v>Mamaearth</v>
      </c>
      <c r="C118" t="str">
        <v>Face Serum</v>
      </c>
      <c r="D118" t="str">
        <v>EAST</v>
      </c>
      <c r="E118">
        <v>1</v>
      </c>
      <c r="F118">
        <v>2</v>
      </c>
      <c r="G118">
        <v>1</v>
      </c>
      <c r="H118">
        <v>1</v>
      </c>
      <c r="I118">
        <v>2</v>
      </c>
      <c r="J118">
        <v>1</v>
      </c>
      <c r="K118">
        <v>1</v>
      </c>
      <c r="L118">
        <v>1</v>
      </c>
      <c r="M118">
        <v>2</v>
      </c>
      <c r="N118">
        <v>1</v>
      </c>
      <c r="O118">
        <v>2</v>
      </c>
      <c r="P118">
        <v>1</v>
      </c>
      <c r="Q118">
        <v>1</v>
      </c>
      <c r="R118">
        <v>1</v>
      </c>
      <c r="S118">
        <v>1</v>
      </c>
      <c r="T118" s="5">
        <f>SUM(E118:P118)</f>
      </c>
      <c r="U118" s="5">
        <f>SUM(Q118:S118)</f>
      </c>
    </row>
    <row r="119">
      <c r="A119" t="str">
        <v>MT</v>
      </c>
      <c r="B119" t="str">
        <v>Mamaearth</v>
      </c>
      <c r="C119" t="str">
        <v>Face Serum</v>
      </c>
      <c r="D119" t="str">
        <v>NORTH</v>
      </c>
      <c r="E119">
        <v>2</v>
      </c>
      <c r="F119">
        <v>2</v>
      </c>
      <c r="G119">
        <v>2</v>
      </c>
      <c r="H119">
        <v>2</v>
      </c>
      <c r="I119">
        <v>1</v>
      </c>
      <c r="J119">
        <v>2</v>
      </c>
      <c r="K119">
        <v>2</v>
      </c>
      <c r="L119">
        <v>2</v>
      </c>
      <c r="M119">
        <v>2</v>
      </c>
      <c r="N119">
        <v>1</v>
      </c>
      <c r="O119">
        <v>3</v>
      </c>
      <c r="P119">
        <v>2</v>
      </c>
      <c r="Q119">
        <v>2</v>
      </c>
      <c r="R119">
        <v>1</v>
      </c>
      <c r="S119">
        <v>1</v>
      </c>
      <c r="T119" s="5">
        <f>SUM(E119:P119)</f>
      </c>
      <c r="U119" s="5">
        <f>SUM(Q119:S119)</f>
      </c>
    </row>
    <row r="120">
      <c r="A120" t="str">
        <v>MT</v>
      </c>
      <c r="B120" t="str">
        <v>Mamaearth</v>
      </c>
      <c r="C120" t="str">
        <v>Face Serum</v>
      </c>
      <c r="D120" t="str">
        <v>SOUTH-1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 s="5">
        <f>SUM(E120:P120)</f>
      </c>
      <c r="U120" s="5">
        <f>SUM(Q120:S120)</f>
      </c>
    </row>
    <row r="121">
      <c r="A121" t="str">
        <v>MT</v>
      </c>
      <c r="B121" t="str">
        <v>Mamaearth</v>
      </c>
      <c r="C121" t="str">
        <v>Face Serum</v>
      </c>
      <c r="D121" t="str">
        <v>SOUTH-2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0</v>
      </c>
      <c r="R121">
        <v>1</v>
      </c>
      <c r="S121">
        <v>1</v>
      </c>
      <c r="T121" s="5">
        <f>SUM(E121:P121)</f>
      </c>
      <c r="U121" s="5">
        <f>SUM(Q121:S121)</f>
      </c>
    </row>
    <row r="122">
      <c r="A122" t="str">
        <v>MT</v>
      </c>
      <c r="B122" t="str">
        <v>Mamaearth</v>
      </c>
      <c r="C122" t="str">
        <v>Face Serum</v>
      </c>
      <c r="D122" t="str">
        <v>WEST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 s="5">
        <f>SUM(E122:P122)</f>
      </c>
      <c r="U122" s="5">
        <f>SUM(Q122:S122)</f>
      </c>
    </row>
    <row r="123">
      <c r="A123" t="str">
        <v>MT</v>
      </c>
      <c r="B123" t="str">
        <v>Mamaearth</v>
      </c>
      <c r="C123" t="str">
        <v>Cold Cream</v>
      </c>
      <c r="D123" t="str">
        <v>NORTH</v>
      </c>
      <c r="E123">
        <v>3</v>
      </c>
      <c r="F123">
        <v>2</v>
      </c>
      <c r="G123">
        <v>2</v>
      </c>
      <c r="H123">
        <v>1</v>
      </c>
      <c r="I123">
        <v>1</v>
      </c>
      <c r="J123">
        <v>1</v>
      </c>
      <c r="K123">
        <v>13</v>
      </c>
      <c r="L123">
        <v>15</v>
      </c>
      <c r="M123">
        <v>13</v>
      </c>
      <c r="N123">
        <v>8</v>
      </c>
      <c r="O123">
        <v>4</v>
      </c>
      <c r="P123">
        <v>3</v>
      </c>
      <c r="Q123">
        <v>2</v>
      </c>
      <c r="R123">
        <v>1</v>
      </c>
      <c r="S123">
        <v>1</v>
      </c>
      <c r="T123" s="5">
        <f>SUM(E123:P123)</f>
      </c>
      <c r="U123" s="5">
        <f>SUM(Q123:S123)</f>
      </c>
    </row>
    <row r="124">
      <c r="A124" t="str">
        <v>MT</v>
      </c>
      <c r="B124" t="str">
        <v>Mamaearth</v>
      </c>
      <c r="C124" t="str">
        <v>Cold Cream</v>
      </c>
      <c r="D124" t="str">
        <v>SOUTH-1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2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 s="5">
        <f>SUM(E124:P124)</f>
      </c>
      <c r="U124" s="5">
        <f>SUM(Q124:S124)</f>
      </c>
    </row>
    <row r="125">
      <c r="A125" t="str">
        <v>MT</v>
      </c>
      <c r="B125" t="str">
        <v>Mamaearth</v>
      </c>
      <c r="C125" t="str">
        <v>Cold Cream</v>
      </c>
      <c r="D125" t="str">
        <v>SOUTH-2</v>
      </c>
      <c r="E125">
        <v>1</v>
      </c>
      <c r="F125">
        <v>2</v>
      </c>
      <c r="G125">
        <v>2</v>
      </c>
      <c r="H125">
        <v>1</v>
      </c>
      <c r="I125">
        <v>1</v>
      </c>
      <c r="J125">
        <v>1</v>
      </c>
      <c r="K125">
        <v>2</v>
      </c>
      <c r="L125">
        <v>3</v>
      </c>
      <c r="M125">
        <v>2</v>
      </c>
      <c r="N125">
        <v>2</v>
      </c>
      <c r="O125">
        <v>1</v>
      </c>
      <c r="P125">
        <v>1</v>
      </c>
      <c r="Q125">
        <v>1</v>
      </c>
      <c r="R125">
        <v>1</v>
      </c>
      <c r="S125">
        <v>1</v>
      </c>
      <c r="T125" s="5">
        <f>SUM(E125:P125)</f>
      </c>
      <c r="U125" s="5">
        <f>SUM(Q125:S125)</f>
      </c>
    </row>
    <row r="126">
      <c r="A126" t="str">
        <v>MT</v>
      </c>
      <c r="B126" t="str">
        <v>Mamaearth</v>
      </c>
      <c r="C126" t="str">
        <v>Cold Cream</v>
      </c>
      <c r="D126" t="str">
        <v>WEST</v>
      </c>
      <c r="E126">
        <v>3</v>
      </c>
      <c r="F126">
        <v>3</v>
      </c>
      <c r="G126">
        <v>2</v>
      </c>
      <c r="H126">
        <v>2</v>
      </c>
      <c r="I126">
        <v>2</v>
      </c>
      <c r="J126">
        <v>2</v>
      </c>
      <c r="K126">
        <v>9</v>
      </c>
      <c r="L126">
        <v>22</v>
      </c>
      <c r="M126">
        <v>18</v>
      </c>
      <c r="N126">
        <v>11</v>
      </c>
      <c r="O126">
        <v>6</v>
      </c>
      <c r="P126">
        <v>4</v>
      </c>
      <c r="Q126">
        <v>3</v>
      </c>
      <c r="R126">
        <v>3</v>
      </c>
      <c r="S126">
        <v>2</v>
      </c>
      <c r="T126" s="5">
        <f>SUM(E126:P126)</f>
      </c>
      <c r="U126" s="5">
        <f>SUM(Q126:S126)</f>
      </c>
    </row>
    <row r="127">
      <c r="A127" t="str">
        <v>MT</v>
      </c>
      <c r="B127" t="str">
        <v>Mamaearth</v>
      </c>
      <c r="C127" t="str">
        <v>Lip Balm</v>
      </c>
      <c r="D127" t="str">
        <v>EAST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3</v>
      </c>
      <c r="N127">
        <v>1</v>
      </c>
      <c r="O127">
        <v>2</v>
      </c>
      <c r="P127">
        <v>1</v>
      </c>
      <c r="Q127">
        <v>0</v>
      </c>
      <c r="R127">
        <v>0</v>
      </c>
      <c r="S127">
        <v>0</v>
      </c>
      <c r="T127" s="5">
        <f>SUM(E127:P127)</f>
      </c>
      <c r="U127" s="5">
        <f>SUM(Q127:S127)</f>
      </c>
    </row>
    <row r="128">
      <c r="A128" t="str">
        <v>MT</v>
      </c>
      <c r="B128" t="str">
        <v>Mamaearth</v>
      </c>
      <c r="C128" t="str">
        <v>Lip Balm</v>
      </c>
      <c r="D128" t="str">
        <v>NORTH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3</v>
      </c>
      <c r="N128">
        <v>3</v>
      </c>
      <c r="O128">
        <v>2</v>
      </c>
      <c r="P128">
        <v>2</v>
      </c>
      <c r="Q128">
        <v>1</v>
      </c>
      <c r="R128">
        <v>1</v>
      </c>
      <c r="S128">
        <v>0</v>
      </c>
      <c r="T128" s="5">
        <f>SUM(E128:P128)</f>
      </c>
      <c r="U128" s="5">
        <f>SUM(Q128:S128)</f>
      </c>
    </row>
    <row r="129">
      <c r="A129" t="str">
        <v>MT</v>
      </c>
      <c r="B129" t="str">
        <v>Mamaearth</v>
      </c>
      <c r="C129" t="str">
        <v>Lip Balm</v>
      </c>
      <c r="D129" t="str">
        <v>SOUTH-1</v>
      </c>
      <c r="E129">
        <v>4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4</v>
      </c>
      <c r="M129">
        <v>7</v>
      </c>
      <c r="N129">
        <v>4</v>
      </c>
      <c r="O129">
        <v>3</v>
      </c>
      <c r="P129">
        <v>2</v>
      </c>
      <c r="Q129">
        <v>2</v>
      </c>
      <c r="R129">
        <v>2</v>
      </c>
      <c r="S129">
        <v>2</v>
      </c>
      <c r="T129" s="5">
        <f>SUM(E129:P129)</f>
      </c>
      <c r="U129" s="5">
        <f>SUM(Q129:S129)</f>
      </c>
    </row>
    <row r="130">
      <c r="A130" t="str">
        <v>MT</v>
      </c>
      <c r="B130" t="str">
        <v>Mamaearth</v>
      </c>
      <c r="C130" t="str">
        <v>Lip Balm</v>
      </c>
      <c r="D130" t="str">
        <v>SOUTH-2</v>
      </c>
      <c r="E130">
        <v>1</v>
      </c>
      <c r="F130">
        <v>1</v>
      </c>
      <c r="G130">
        <v>1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2</v>
      </c>
      <c r="N130">
        <v>2</v>
      </c>
      <c r="O130">
        <v>1</v>
      </c>
      <c r="P130">
        <v>1</v>
      </c>
      <c r="Q130">
        <v>1</v>
      </c>
      <c r="R130">
        <v>1</v>
      </c>
      <c r="S130">
        <v>1</v>
      </c>
      <c r="T130" s="5">
        <f>SUM(E130:P130)</f>
      </c>
      <c r="U130" s="5">
        <f>SUM(Q130:S130)</f>
      </c>
    </row>
    <row r="131">
      <c r="A131" t="str">
        <v>MT</v>
      </c>
      <c r="B131" t="str">
        <v>Mamaearth</v>
      </c>
      <c r="C131" t="str">
        <v>Lip Balm</v>
      </c>
      <c r="D131" t="str">
        <v>WEST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2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T131" s="5">
        <f>SUM(E131:P131)</f>
      </c>
      <c r="U131" s="5">
        <f>SUM(Q131:S131)</f>
      </c>
    </row>
    <row r="132">
      <c r="A132" t="str">
        <v>MT</v>
      </c>
      <c r="B132" t="str">
        <v>Mamaearth</v>
      </c>
      <c r="C132" t="str">
        <v>Facial Kit</v>
      </c>
      <c r="D132" t="str">
        <v>EAST</v>
      </c>
      <c r="E132">
        <v>1</v>
      </c>
      <c r="F132">
        <v>2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0</v>
      </c>
      <c r="Q132">
        <v>1</v>
      </c>
      <c r="R132">
        <v>1</v>
      </c>
      <c r="S132">
        <v>1</v>
      </c>
      <c r="T132" s="5">
        <f>SUM(E132:P132)</f>
      </c>
      <c r="U132" s="5">
        <f>SUM(Q132:S132)</f>
      </c>
    </row>
    <row r="133">
      <c r="A133" t="str">
        <v>MT</v>
      </c>
      <c r="B133" t="str">
        <v>Mamaearth</v>
      </c>
      <c r="C133" t="str">
        <v>Facial Kit</v>
      </c>
      <c r="D133" t="str">
        <v>NORTH</v>
      </c>
      <c r="E133">
        <v>6</v>
      </c>
      <c r="F133">
        <v>5</v>
      </c>
      <c r="G133">
        <v>5</v>
      </c>
      <c r="H133">
        <v>4</v>
      </c>
      <c r="I133">
        <v>4</v>
      </c>
      <c r="J133">
        <v>4</v>
      </c>
      <c r="K133">
        <v>5</v>
      </c>
      <c r="L133">
        <v>4</v>
      </c>
      <c r="M133">
        <v>3</v>
      </c>
      <c r="N133">
        <v>4</v>
      </c>
      <c r="O133">
        <v>4</v>
      </c>
      <c r="P133">
        <v>2</v>
      </c>
      <c r="Q133">
        <v>2</v>
      </c>
      <c r="R133">
        <v>2</v>
      </c>
      <c r="S133">
        <v>1</v>
      </c>
      <c r="T133" s="5">
        <f>SUM(E133:P133)</f>
      </c>
      <c r="U133" s="5">
        <f>SUM(Q133:S133)</f>
      </c>
    </row>
    <row r="134">
      <c r="A134" t="str">
        <v>MT</v>
      </c>
      <c r="B134" t="str">
        <v>Mamaearth</v>
      </c>
      <c r="C134" t="str">
        <v>Facial Kit</v>
      </c>
      <c r="D134" t="str">
        <v>SOUTH-1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0</v>
      </c>
      <c r="T134" s="5">
        <f>SUM(E134:P134)</f>
      </c>
      <c r="U134" s="5">
        <f>SUM(Q134:S134)</f>
      </c>
    </row>
    <row r="135">
      <c r="A135" t="str">
        <v>MT</v>
      </c>
      <c r="B135" t="str">
        <v>Mamaearth</v>
      </c>
      <c r="C135" t="str">
        <v>Facial Kit</v>
      </c>
      <c r="D135" t="str">
        <v>SOUTH-2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s="5">
        <f>SUM(E135:P135)</f>
      </c>
      <c r="U135" s="5">
        <f>SUM(Q135:S135)</f>
      </c>
    </row>
    <row r="136">
      <c r="A136" t="str">
        <v>MT</v>
      </c>
      <c r="B136" t="str">
        <v>Mamaearth</v>
      </c>
      <c r="C136" t="str">
        <v>Facial Kit</v>
      </c>
      <c r="D136" t="str">
        <v>WEST</v>
      </c>
      <c r="E136">
        <v>6</v>
      </c>
      <c r="F136">
        <v>6</v>
      </c>
      <c r="G136">
        <v>5</v>
      </c>
      <c r="H136">
        <v>4</v>
      </c>
      <c r="I136">
        <v>4</v>
      </c>
      <c r="J136">
        <v>4</v>
      </c>
      <c r="K136">
        <v>5</v>
      </c>
      <c r="L136">
        <v>4</v>
      </c>
      <c r="M136">
        <v>3</v>
      </c>
      <c r="N136">
        <v>3</v>
      </c>
      <c r="O136">
        <v>2</v>
      </c>
      <c r="P136">
        <v>1</v>
      </c>
      <c r="Q136">
        <v>1</v>
      </c>
      <c r="R136">
        <v>1</v>
      </c>
      <c r="S136">
        <v>0</v>
      </c>
      <c r="T136" s="5">
        <f>SUM(E136:P136)</f>
      </c>
      <c r="U136" s="5">
        <f>SUM(Q136:S136)</f>
      </c>
    </row>
    <row r="137">
      <c r="A137" t="str">
        <v>MT</v>
      </c>
      <c r="B137" t="str">
        <v>Mamaearth</v>
      </c>
      <c r="C137" t="str">
        <v>Hair Serum</v>
      </c>
      <c r="D137" t="str">
        <v>EAST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0</v>
      </c>
      <c r="T137" s="5">
        <f>SUM(E137:P137)</f>
      </c>
      <c r="U137" s="5">
        <f>SUM(Q137:S137)</f>
      </c>
    </row>
    <row r="138">
      <c r="A138" t="str">
        <v>MT</v>
      </c>
      <c r="B138" t="str">
        <v>Mamaearth</v>
      </c>
      <c r="C138" t="str">
        <v>Hair Serum</v>
      </c>
      <c r="D138" t="str">
        <v>NORTH</v>
      </c>
      <c r="E138">
        <v>1</v>
      </c>
      <c r="F138">
        <v>2</v>
      </c>
      <c r="G138">
        <v>1</v>
      </c>
      <c r="H138">
        <v>2</v>
      </c>
      <c r="I138">
        <v>2</v>
      </c>
      <c r="J138">
        <v>2</v>
      </c>
      <c r="K138">
        <v>1</v>
      </c>
      <c r="L138">
        <v>1</v>
      </c>
      <c r="M138">
        <v>2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 s="5">
        <f>SUM(E138:P138)</f>
      </c>
      <c r="U138" s="5">
        <f>SUM(Q138:S138)</f>
      </c>
    </row>
    <row r="139">
      <c r="A139" t="str">
        <v>MT</v>
      </c>
      <c r="B139" t="str">
        <v>Mamaearth</v>
      </c>
      <c r="C139" t="str">
        <v>Hair Serum</v>
      </c>
      <c r="D139" t="str">
        <v>SOUTH-1</v>
      </c>
      <c r="E139">
        <v>2</v>
      </c>
      <c r="F139">
        <v>2</v>
      </c>
      <c r="G139">
        <v>2</v>
      </c>
      <c r="H139">
        <v>1</v>
      </c>
      <c r="I139">
        <v>2</v>
      </c>
      <c r="J139">
        <v>1</v>
      </c>
      <c r="K139">
        <v>1</v>
      </c>
      <c r="L139">
        <v>1</v>
      </c>
      <c r="M139">
        <v>2</v>
      </c>
      <c r="N139">
        <v>1</v>
      </c>
      <c r="O139">
        <v>2</v>
      </c>
      <c r="P139">
        <v>1</v>
      </c>
      <c r="Q139">
        <v>1</v>
      </c>
      <c r="R139">
        <v>1</v>
      </c>
      <c r="S139">
        <v>1</v>
      </c>
      <c r="T139" s="5">
        <f>SUM(E139:P139)</f>
      </c>
      <c r="U139" s="5">
        <f>SUM(Q139:S139)</f>
      </c>
    </row>
    <row r="140">
      <c r="A140" t="str">
        <v>MT</v>
      </c>
      <c r="B140" t="str">
        <v>Mamaearth</v>
      </c>
      <c r="C140" t="str">
        <v>Hair Serum</v>
      </c>
      <c r="D140" t="str">
        <v>SOUTH-2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 s="5">
        <f>SUM(E140:P140)</f>
      </c>
      <c r="U140" s="5">
        <f>SUM(Q140:S140)</f>
      </c>
    </row>
    <row r="141">
      <c r="A141" t="str">
        <v>MT</v>
      </c>
      <c r="B141" t="str">
        <v>Mamaearth</v>
      </c>
      <c r="C141" t="str">
        <v>Hair Serum</v>
      </c>
      <c r="D141" t="str">
        <v>WEST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2</v>
      </c>
      <c r="O141">
        <v>1</v>
      </c>
      <c r="P141">
        <v>1</v>
      </c>
      <c r="Q141">
        <v>1</v>
      </c>
      <c r="R141">
        <v>1</v>
      </c>
      <c r="S141">
        <v>1</v>
      </c>
      <c r="T141" s="5">
        <f>SUM(E141:P141)</f>
      </c>
      <c r="U141" s="5">
        <f>SUM(Q141:S141)</f>
      </c>
    </row>
    <row r="142">
      <c r="A142" t="str">
        <v>MT</v>
      </c>
      <c r="B142" t="str">
        <v>Mamaearth</v>
      </c>
      <c r="C142" t="str">
        <v>Mosquito Protection</v>
      </c>
      <c r="D142" t="str">
        <v>NORTH</v>
      </c>
      <c r="E142">
        <v>2</v>
      </c>
      <c r="F142">
        <v>1</v>
      </c>
      <c r="G142">
        <v>1</v>
      </c>
      <c r="H142">
        <v>2</v>
      </c>
      <c r="I142">
        <v>2</v>
      </c>
      <c r="J142">
        <v>2</v>
      </c>
      <c r="K142">
        <v>1</v>
      </c>
      <c r="L142">
        <v>1</v>
      </c>
      <c r="M142">
        <v>1</v>
      </c>
      <c r="N142">
        <v>0</v>
      </c>
      <c r="O142">
        <v>2</v>
      </c>
      <c r="P142">
        <v>3</v>
      </c>
      <c r="Q142">
        <v>2</v>
      </c>
      <c r="R142">
        <v>1</v>
      </c>
      <c r="S142">
        <v>1</v>
      </c>
      <c r="T142" s="5">
        <f>SUM(E142:P142)</f>
      </c>
      <c r="U142" s="5">
        <f>SUM(Q142:S142)</f>
      </c>
    </row>
    <row r="143">
      <c r="A143" t="str">
        <v>MT</v>
      </c>
      <c r="B143" t="str">
        <v>Mamaearth</v>
      </c>
      <c r="C143" t="str">
        <v>Mosquito Protection</v>
      </c>
      <c r="D143" t="str">
        <v>SOUTH-1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1</v>
      </c>
      <c r="L143">
        <v>2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1</v>
      </c>
      <c r="T143" s="5">
        <f>SUM(E143:P143)</f>
      </c>
      <c r="U143" s="5">
        <f>SUM(Q143:S143)</f>
      </c>
    </row>
    <row r="144">
      <c r="A144" t="str">
        <v>MT</v>
      </c>
      <c r="B144" t="str">
        <v>Mamaearth</v>
      </c>
      <c r="C144" t="str">
        <v>Mosquito Protection</v>
      </c>
      <c r="D144" t="str">
        <v>SOUTH-2</v>
      </c>
      <c r="E144">
        <v>0</v>
      </c>
      <c r="F144">
        <v>0</v>
      </c>
      <c r="G144">
        <v>1</v>
      </c>
      <c r="H144">
        <v>1</v>
      </c>
      <c r="I144">
        <v>1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 s="5">
        <f>SUM(E144:P144)</f>
      </c>
      <c r="U144" s="5">
        <f>SUM(Q144:S144)</f>
      </c>
    </row>
    <row r="145">
      <c r="A145" t="str">
        <v>MT</v>
      </c>
      <c r="B145" t="str">
        <v>Mamaearth</v>
      </c>
      <c r="C145" t="str">
        <v>Mosquito Protection</v>
      </c>
      <c r="D145" t="str">
        <v>WEST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1</v>
      </c>
      <c r="O145">
        <v>1</v>
      </c>
      <c r="P145">
        <v>2</v>
      </c>
      <c r="Q145">
        <v>1</v>
      </c>
      <c r="R145">
        <v>0</v>
      </c>
      <c r="S145">
        <v>1</v>
      </c>
      <c r="T145" s="5">
        <f>SUM(E145:P145)</f>
      </c>
      <c r="U145" s="5">
        <f>SUM(Q145:S145)</f>
      </c>
    </row>
    <row r="146">
      <c r="A146" t="str">
        <v>MT</v>
      </c>
      <c r="B146" t="str">
        <v>Mamaearth</v>
      </c>
      <c r="C146" t="str">
        <v>Kids Soap</v>
      </c>
      <c r="D146" t="str">
        <v>NORTH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 s="5">
        <f>SUM(E146:P146)</f>
      </c>
      <c r="U146" s="5">
        <f>SUM(Q146:S146)</f>
      </c>
    </row>
    <row r="147">
      <c r="A147" t="str">
        <v>MT</v>
      </c>
      <c r="B147" t="str">
        <v>Mamaearth</v>
      </c>
      <c r="C147" t="str">
        <v>Kids Soap</v>
      </c>
      <c r="D147" t="str">
        <v>SOUTH-1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 s="5">
        <f>SUM(E147:P147)</f>
      </c>
      <c r="U147" s="5">
        <f>SUM(Q147:S147)</f>
      </c>
    </row>
    <row r="148">
      <c r="A148" t="str">
        <v>MT</v>
      </c>
      <c r="B148" t="str">
        <v>Mamaearth</v>
      </c>
      <c r="C148" t="str">
        <v>Kids Soap</v>
      </c>
      <c r="D148" t="str">
        <v>SOUTH-2</v>
      </c>
      <c r="E148">
        <v>0</v>
      </c>
      <c r="F148">
        <v>0</v>
      </c>
      <c r="G148">
        <v>0</v>
      </c>
      <c r="H148">
        <v>1</v>
      </c>
      <c r="I148">
        <v>1</v>
      </c>
      <c r="J148">
        <v>1</v>
      </c>
      <c r="K148">
        <v>1</v>
      </c>
      <c r="L148">
        <v>0</v>
      </c>
      <c r="M148">
        <v>1</v>
      </c>
      <c r="N148">
        <v>1</v>
      </c>
      <c r="O148">
        <v>1</v>
      </c>
      <c r="P148">
        <v>1</v>
      </c>
      <c r="Q148">
        <v>0</v>
      </c>
      <c r="R148">
        <v>1</v>
      </c>
      <c r="S148">
        <v>0</v>
      </c>
      <c r="T148" s="5">
        <f>SUM(E148:P148)</f>
      </c>
      <c r="U148" s="5">
        <f>SUM(Q148:S148)</f>
      </c>
    </row>
    <row r="149">
      <c r="A149" t="str">
        <v>MT</v>
      </c>
      <c r="B149" t="str">
        <v>Mamaearth</v>
      </c>
      <c r="C149" t="str">
        <v>Kids Soap</v>
      </c>
      <c r="D149" t="str">
        <v>WEST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0</v>
      </c>
      <c r="P149">
        <v>1</v>
      </c>
      <c r="Q149">
        <v>0</v>
      </c>
      <c r="R149">
        <v>0</v>
      </c>
      <c r="S149">
        <v>0</v>
      </c>
      <c r="T149" s="5">
        <f>SUM(E149:P149)</f>
      </c>
      <c r="U149" s="5">
        <f>SUM(Q149:S149)</f>
      </c>
    </row>
    <row r="150">
      <c r="A150" t="str">
        <v>MT</v>
      </c>
      <c r="B150" t="str">
        <v>Mamaearth</v>
      </c>
      <c r="C150" t="str">
        <v>Massage Oil</v>
      </c>
      <c r="D150" t="str">
        <v>SOUTH-2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1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1</v>
      </c>
      <c r="Q150">
        <v>1</v>
      </c>
      <c r="R150">
        <v>1</v>
      </c>
      <c r="S150">
        <v>1</v>
      </c>
      <c r="T150" s="5">
        <f>SUM(E150:P150)</f>
      </c>
      <c r="U150" s="5">
        <f>SUM(Q150:S150)</f>
      </c>
    </row>
    <row r="151">
      <c r="A151" t="str">
        <v>MT</v>
      </c>
      <c r="B151" t="str">
        <v>Mamaearth</v>
      </c>
      <c r="C151" t="str">
        <v>Kajal</v>
      </c>
      <c r="D151" t="str">
        <v>SOUTH-1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L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 s="5">
        <f>SUM(E151:P151)</f>
      </c>
      <c r="U151" s="5">
        <f>SUM(Q151:S151)</f>
      </c>
    </row>
    <row r="152">
      <c r="A152" t="str">
        <v>MT</v>
      </c>
      <c r="B152" t="str">
        <v>Mamaearth</v>
      </c>
      <c r="C152" t="str">
        <v>Hair Mask</v>
      </c>
      <c r="D152" t="str">
        <v>EAST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 s="5">
        <f>SUM(E152:P152)</f>
      </c>
      <c r="U152" s="5">
        <f>SUM(Q152:S152)</f>
      </c>
    </row>
    <row r="153">
      <c r="A153" t="str">
        <v>MT</v>
      </c>
      <c r="B153" t="str">
        <v>Mamaearth</v>
      </c>
      <c r="C153" t="str">
        <v>Hair Mask</v>
      </c>
      <c r="D153" t="str">
        <v>NORTH</v>
      </c>
      <c r="E153">
        <v>0</v>
      </c>
      <c r="F153">
        <v>1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1</v>
      </c>
      <c r="S153">
        <v>0</v>
      </c>
      <c r="T153" s="5">
        <f>SUM(E153:P153)</f>
      </c>
      <c r="U153" s="5">
        <f>SUM(Q153:S153)</f>
      </c>
    </row>
    <row r="154">
      <c r="A154" t="str">
        <v>MT</v>
      </c>
      <c r="B154" t="str">
        <v>Mamaearth</v>
      </c>
      <c r="C154" t="str">
        <v>Hair Mask</v>
      </c>
      <c r="D154" t="str">
        <v>SOUTH-1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 s="5">
        <f>SUM(E154:P154)</f>
      </c>
      <c r="U154" s="5">
        <f>SUM(Q154:S154)</f>
      </c>
    </row>
    <row r="155">
      <c r="A155" t="str">
        <v>MT</v>
      </c>
      <c r="B155" t="str">
        <v>Mamaearth</v>
      </c>
      <c r="C155" t="str">
        <v>OTC</v>
      </c>
      <c r="D155" t="str">
        <v>NORTH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0</v>
      </c>
      <c r="T155" s="5">
        <f>SUM(E155:P155)</f>
      </c>
      <c r="U155" s="5">
        <f>SUM(Q155:S155)</f>
      </c>
    </row>
    <row r="156">
      <c r="A156" t="str">
        <v>MT</v>
      </c>
      <c r="B156" t="str">
        <v>Mamaearth</v>
      </c>
      <c r="C156" t="str">
        <v>OTC</v>
      </c>
      <c r="D156" t="str">
        <v>WEST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 s="5">
        <f>SUM(E156:P156)</f>
      </c>
      <c r="U156" s="5">
        <f>SUM(Q156:S156)</f>
      </c>
    </row>
    <row r="157">
      <c r="A157" t="str">
        <v>MT</v>
      </c>
      <c r="B157" t="str">
        <v>Mamaearth</v>
      </c>
      <c r="C157" t="str">
        <v>EAU DE PARFUM</v>
      </c>
      <c r="D157" t="str">
        <v>EAST</v>
      </c>
      <c r="E157">
        <v>3</v>
      </c>
      <c r="F157">
        <v>3</v>
      </c>
      <c r="G157">
        <v>3</v>
      </c>
      <c r="H157">
        <v>3</v>
      </c>
      <c r="I157">
        <v>4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 s="5">
        <f>SUM(E157:P157)</f>
      </c>
      <c r="U157" s="5">
        <f>SUM(Q157:S157)</f>
      </c>
    </row>
    <row r="158">
      <c r="A158" t="str">
        <v>MT</v>
      </c>
      <c r="B158" t="str">
        <v>Mamaearth</v>
      </c>
      <c r="C158" t="str">
        <v>EAU DE PARFUM</v>
      </c>
      <c r="D158" t="str">
        <v>NORTH</v>
      </c>
      <c r="E158">
        <v>2</v>
      </c>
      <c r="F158">
        <v>4</v>
      </c>
      <c r="G158">
        <v>3</v>
      </c>
      <c r="H158">
        <v>3</v>
      </c>
      <c r="I158">
        <v>4</v>
      </c>
      <c r="J158">
        <v>1</v>
      </c>
      <c r="K158">
        <v>2</v>
      </c>
      <c r="L158">
        <v>1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 s="5">
        <f>SUM(E158:P158)</f>
      </c>
      <c r="U158" s="5">
        <f>SUM(Q158:S158)</f>
      </c>
    </row>
    <row r="159">
      <c r="A159" t="str">
        <v>MT</v>
      </c>
      <c r="B159" t="str">
        <v>Mamaearth</v>
      </c>
      <c r="C159" t="str">
        <v>EAU DE PARFUM</v>
      </c>
      <c r="D159" t="str">
        <v>SOUTH-1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0</v>
      </c>
      <c r="T159" s="5">
        <f>SUM(E159:P159)</f>
      </c>
      <c r="U159" s="5">
        <f>SUM(Q159:S159)</f>
      </c>
    </row>
    <row r="160">
      <c r="A160" t="str">
        <v>MT</v>
      </c>
      <c r="B160" t="str">
        <v>Mamaearth</v>
      </c>
      <c r="C160" t="str">
        <v>EAU DE PARFUM</v>
      </c>
      <c r="D160" t="str">
        <v>SOUTH-2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 s="5">
        <f>SUM(E160:P160)</f>
      </c>
      <c r="U160" s="5">
        <f>SUM(Q160:S160)</f>
      </c>
    </row>
    <row r="161">
      <c r="A161" t="str">
        <v>MT</v>
      </c>
      <c r="B161" t="str">
        <v>Mamaearth</v>
      </c>
      <c r="C161" t="str">
        <v>EAU DE PARFUM</v>
      </c>
      <c r="D161" t="str">
        <v>WEST</v>
      </c>
      <c r="E161">
        <v>1</v>
      </c>
      <c r="F161">
        <v>1</v>
      </c>
      <c r="G161">
        <v>1</v>
      </c>
      <c r="H161">
        <v>1</v>
      </c>
      <c r="I161">
        <v>2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 s="5">
        <f>SUM(E161:P161)</f>
      </c>
      <c r="U161" s="5">
        <f>SUM(Q161:S161)</f>
      </c>
    </row>
    <row r="162">
      <c r="A162" t="str">
        <v>MT</v>
      </c>
      <c r="B162" t="str">
        <v>Mamaearth</v>
      </c>
      <c r="C162" t="str">
        <v>Henna Paste</v>
      </c>
      <c r="D162" t="str">
        <v>SOUTH-1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 s="5">
        <f>SUM(E162:P162)</f>
      </c>
      <c r="U162" s="5">
        <f>SUM(Q162:S162)</f>
      </c>
    </row>
    <row r="163">
      <c r="A163" t="str">
        <v>MT</v>
      </c>
      <c r="B163" t="str">
        <v>Mamaearth</v>
      </c>
      <c r="C163" t="str">
        <v>Body Gel</v>
      </c>
      <c r="D163" t="str">
        <v>NORTH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 s="5">
        <f>SUM(E163:P163)</f>
      </c>
      <c r="U163" s="5">
        <f>SUM(Q163:S163)</f>
      </c>
    </row>
    <row r="164">
      <c r="A164" t="str">
        <v>MT</v>
      </c>
      <c r="B164" t="str">
        <v>Mamaearth</v>
      </c>
      <c r="C164" t="str">
        <v>Lipstick</v>
      </c>
      <c r="D164" t="str">
        <v>EAST</v>
      </c>
      <c r="E164">
        <v>1</v>
      </c>
      <c r="F164">
        <v>0</v>
      </c>
      <c r="G164">
        <v>1</v>
      </c>
      <c r="H164">
        <v>0</v>
      </c>
      <c r="I164">
        <v>0</v>
      </c>
      <c r="J164">
        <v>0</v>
      </c>
      <c r="T164" s="5">
        <f>SUM(E164:P164)</f>
      </c>
      <c r="U164" s="5">
        <f>SUM(Q164:S164)</f>
      </c>
    </row>
    <row r="165">
      <c r="A165" t="str">
        <v>MT</v>
      </c>
      <c r="B165" t="str">
        <v>Mamaearth</v>
      </c>
      <c r="C165" t="str">
        <v>Lipstick</v>
      </c>
      <c r="D165" t="str">
        <v>NORTH</v>
      </c>
      <c r="E165">
        <v>2</v>
      </c>
      <c r="F165">
        <v>1</v>
      </c>
      <c r="G165">
        <v>1</v>
      </c>
      <c r="H165">
        <v>0</v>
      </c>
      <c r="I165">
        <v>0</v>
      </c>
      <c r="J165">
        <v>0</v>
      </c>
      <c r="K165">
        <v>0</v>
      </c>
      <c r="M165">
        <v>0</v>
      </c>
      <c r="Q165">
        <v>0</v>
      </c>
      <c r="T165" s="5">
        <f>SUM(E165:P165)</f>
      </c>
      <c r="U165" s="5">
        <f>SUM(Q165:S165)</f>
      </c>
    </row>
    <row r="166">
      <c r="A166" t="str">
        <v>MT</v>
      </c>
      <c r="B166" t="str">
        <v>Mamaearth</v>
      </c>
      <c r="C166" t="str">
        <v>Lipstick</v>
      </c>
      <c r="D166" t="str">
        <v>SOUTH-1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 s="5">
        <f>SUM(E166:P166)</f>
      </c>
      <c r="U166" s="5">
        <f>SUM(Q166:S166)</f>
      </c>
    </row>
    <row r="167">
      <c r="A167" t="str">
        <v>MT</v>
      </c>
      <c r="B167" t="str">
        <v>Mamaearth</v>
      </c>
      <c r="C167" t="str">
        <v>Lipstick</v>
      </c>
      <c r="D167" t="str">
        <v>WEST</v>
      </c>
      <c r="E167">
        <v>1</v>
      </c>
      <c r="F167">
        <v>0</v>
      </c>
      <c r="G167">
        <v>1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0</v>
      </c>
      <c r="O167">
        <v>0</v>
      </c>
      <c r="P167">
        <v>0</v>
      </c>
      <c r="S167">
        <v>0</v>
      </c>
      <c r="T167" s="5">
        <f>SUM(E167:P167)</f>
      </c>
      <c r="U167" s="5">
        <f>SUM(Q167:S167)</f>
      </c>
    </row>
    <row r="168">
      <c r="A168" t="str">
        <v>MT</v>
      </c>
      <c r="B168" t="str">
        <v>Mamaearth</v>
      </c>
      <c r="C168" t="str">
        <v>Hygiene</v>
      </c>
      <c r="D168" t="str">
        <v>SOUTH-1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 s="5">
        <f>SUM(E168:P168)</f>
      </c>
      <c r="U168" s="5">
        <f>SUM(Q168:S168)</f>
      </c>
    </row>
    <row r="169">
      <c r="A169" t="str">
        <v>MT</v>
      </c>
      <c r="B169" t="str">
        <v>Mamaearth</v>
      </c>
      <c r="C169" t="str">
        <v>Hygiene</v>
      </c>
      <c r="D169" t="str">
        <v>WEST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 s="5">
        <f>SUM(E169:P169)</f>
      </c>
      <c r="U169" s="5">
        <f>SUM(Q169:S169)</f>
      </c>
    </row>
    <row r="170">
      <c r="A170" t="str">
        <v>MT</v>
      </c>
      <c r="B170" t="str">
        <v>Mamaearth</v>
      </c>
      <c r="C170" t="str">
        <v>Foundation</v>
      </c>
      <c r="D170" t="str">
        <v>WEST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O170">
        <v>0</v>
      </c>
      <c r="P170">
        <v>0</v>
      </c>
      <c r="T170" s="5">
        <f>SUM(E170:P170)</f>
      </c>
      <c r="U170" s="5">
        <f>SUM(Q170:S170)</f>
      </c>
    </row>
    <row r="171">
      <c r="A171" t="str">
        <v>MT</v>
      </c>
      <c r="B171" t="str">
        <v>The Derma Co.</v>
      </c>
      <c r="C171" t="str">
        <v>Face Cleanser</v>
      </c>
      <c r="D171" t="str">
        <v>EAST</v>
      </c>
      <c r="E171">
        <v>2</v>
      </c>
      <c r="F171">
        <v>3</v>
      </c>
      <c r="G171">
        <v>3</v>
      </c>
      <c r="H171">
        <v>3</v>
      </c>
      <c r="I171">
        <v>4</v>
      </c>
      <c r="J171">
        <v>3</v>
      </c>
      <c r="K171">
        <v>4</v>
      </c>
      <c r="L171">
        <v>6</v>
      </c>
      <c r="M171">
        <v>8</v>
      </c>
      <c r="N171">
        <v>10</v>
      </c>
      <c r="O171">
        <v>10</v>
      </c>
      <c r="P171">
        <v>12</v>
      </c>
      <c r="Q171">
        <v>17</v>
      </c>
      <c r="R171">
        <v>18</v>
      </c>
      <c r="S171">
        <v>22</v>
      </c>
      <c r="T171" s="5">
        <f>SUM(E171:P171)</f>
      </c>
      <c r="U171" s="5">
        <f>SUM(Q171:S171)</f>
      </c>
    </row>
    <row r="172">
      <c r="A172" t="str">
        <v>MT</v>
      </c>
      <c r="B172" t="str">
        <v>The Derma Co.</v>
      </c>
      <c r="C172" t="str">
        <v>Face Cleanser</v>
      </c>
      <c r="D172" t="str">
        <v>NORTH</v>
      </c>
      <c r="E172">
        <v>6</v>
      </c>
      <c r="F172">
        <v>7</v>
      </c>
      <c r="G172">
        <v>9</v>
      </c>
      <c r="H172">
        <v>12</v>
      </c>
      <c r="I172">
        <v>18</v>
      </c>
      <c r="J172">
        <v>21</v>
      </c>
      <c r="K172">
        <v>27</v>
      </c>
      <c r="L172">
        <v>29</v>
      </c>
      <c r="M172">
        <v>43</v>
      </c>
      <c r="N172">
        <v>67</v>
      </c>
      <c r="O172">
        <v>63</v>
      </c>
      <c r="P172">
        <v>84</v>
      </c>
      <c r="Q172">
        <v>94</v>
      </c>
      <c r="R172">
        <v>132</v>
      </c>
      <c r="S172">
        <v>143</v>
      </c>
      <c r="T172" s="5">
        <f>SUM(E172:P172)</f>
      </c>
      <c r="U172" s="5">
        <f>SUM(Q172:S172)</f>
      </c>
    </row>
    <row r="173">
      <c r="A173" t="str">
        <v>MT</v>
      </c>
      <c r="B173" t="str">
        <v>The Derma Co.</v>
      </c>
      <c r="C173" t="str">
        <v>Face Cleanser</v>
      </c>
      <c r="D173" t="str">
        <v>SOUTH-1</v>
      </c>
      <c r="E173">
        <v>11</v>
      </c>
      <c r="F173">
        <v>13</v>
      </c>
      <c r="G173">
        <v>14</v>
      </c>
      <c r="H173">
        <v>17</v>
      </c>
      <c r="I173">
        <v>20</v>
      </c>
      <c r="J173">
        <v>20</v>
      </c>
      <c r="K173">
        <v>23</v>
      </c>
      <c r="L173">
        <v>30</v>
      </c>
      <c r="M173">
        <v>45</v>
      </c>
      <c r="N173">
        <v>68</v>
      </c>
      <c r="O173">
        <v>58</v>
      </c>
      <c r="P173">
        <v>65</v>
      </c>
      <c r="Q173">
        <v>85</v>
      </c>
      <c r="R173">
        <v>116</v>
      </c>
      <c r="S173">
        <v>117</v>
      </c>
      <c r="T173" s="5">
        <f>SUM(E173:P173)</f>
      </c>
      <c r="U173" s="5">
        <f>SUM(Q173:S173)</f>
      </c>
    </row>
    <row r="174">
      <c r="A174" t="str">
        <v>MT</v>
      </c>
      <c r="B174" t="str">
        <v>The Derma Co.</v>
      </c>
      <c r="C174" t="str">
        <v>Face Cleanser</v>
      </c>
      <c r="D174" t="str">
        <v>SOUTH-2</v>
      </c>
      <c r="E174">
        <v>3</v>
      </c>
      <c r="F174">
        <v>4</v>
      </c>
      <c r="G174">
        <v>5</v>
      </c>
      <c r="H174">
        <v>6</v>
      </c>
      <c r="I174">
        <v>6</v>
      </c>
      <c r="J174">
        <v>6</v>
      </c>
      <c r="K174">
        <v>5</v>
      </c>
      <c r="L174">
        <v>7</v>
      </c>
      <c r="M174">
        <v>14</v>
      </c>
      <c r="N174">
        <v>28</v>
      </c>
      <c r="O174">
        <v>21</v>
      </c>
      <c r="P174">
        <v>29</v>
      </c>
      <c r="Q174">
        <v>42</v>
      </c>
      <c r="R174">
        <v>62</v>
      </c>
      <c r="S174">
        <v>66</v>
      </c>
      <c r="T174" s="5">
        <f>SUM(E174:P174)</f>
      </c>
      <c r="U174" s="5">
        <f>SUM(Q174:S174)</f>
      </c>
    </row>
    <row r="175">
      <c r="A175" t="str">
        <v>MT</v>
      </c>
      <c r="B175" t="str">
        <v>The Derma Co.</v>
      </c>
      <c r="C175" t="str">
        <v>Face Cleanser</v>
      </c>
      <c r="D175" t="str">
        <v>WEST</v>
      </c>
      <c r="E175">
        <v>12</v>
      </c>
      <c r="F175">
        <v>13</v>
      </c>
      <c r="G175">
        <v>13</v>
      </c>
      <c r="H175">
        <v>14</v>
      </c>
      <c r="I175">
        <v>18</v>
      </c>
      <c r="J175">
        <v>18</v>
      </c>
      <c r="K175">
        <v>24</v>
      </c>
      <c r="L175">
        <v>25</v>
      </c>
      <c r="M175">
        <v>52</v>
      </c>
      <c r="N175">
        <v>124</v>
      </c>
      <c r="O175">
        <v>119</v>
      </c>
      <c r="P175">
        <v>140</v>
      </c>
      <c r="Q175">
        <v>152</v>
      </c>
      <c r="R175">
        <v>215</v>
      </c>
      <c r="S175">
        <v>238</v>
      </c>
      <c r="T175" s="5">
        <f>SUM(E175:P175)</f>
      </c>
      <c r="U175" s="5">
        <f>SUM(Q175:S175)</f>
      </c>
    </row>
    <row r="176">
      <c r="A176" t="str">
        <v>MT</v>
      </c>
      <c r="B176" t="str">
        <v>The Derma Co.</v>
      </c>
      <c r="C176" t="str">
        <v>Sun Care</v>
      </c>
      <c r="D176" t="str">
        <v>EAST</v>
      </c>
      <c r="E176">
        <v>6</v>
      </c>
      <c r="F176">
        <v>6</v>
      </c>
      <c r="G176">
        <v>5</v>
      </c>
      <c r="H176">
        <v>4</v>
      </c>
      <c r="I176">
        <v>4</v>
      </c>
      <c r="J176">
        <v>3</v>
      </c>
      <c r="K176">
        <v>4</v>
      </c>
      <c r="L176">
        <v>5</v>
      </c>
      <c r="M176">
        <v>6</v>
      </c>
      <c r="N176">
        <v>7</v>
      </c>
      <c r="O176">
        <v>7</v>
      </c>
      <c r="P176">
        <v>10</v>
      </c>
      <c r="Q176">
        <v>15</v>
      </c>
      <c r="R176">
        <v>18</v>
      </c>
      <c r="S176">
        <v>14</v>
      </c>
      <c r="T176" s="5">
        <f>SUM(E176:P176)</f>
      </c>
      <c r="U176" s="5">
        <f>SUM(Q176:S176)</f>
      </c>
    </row>
    <row r="177">
      <c r="A177" t="str">
        <v>MT</v>
      </c>
      <c r="B177" t="str">
        <v>The Derma Co.</v>
      </c>
      <c r="C177" t="str">
        <v>Sun Care</v>
      </c>
      <c r="D177" t="str">
        <v>NORTH</v>
      </c>
      <c r="E177">
        <v>19</v>
      </c>
      <c r="F177">
        <v>17</v>
      </c>
      <c r="G177">
        <v>18</v>
      </c>
      <c r="H177">
        <v>12</v>
      </c>
      <c r="I177">
        <v>13</v>
      </c>
      <c r="J177">
        <v>11</v>
      </c>
      <c r="K177">
        <v>15</v>
      </c>
      <c r="L177">
        <v>14</v>
      </c>
      <c r="M177">
        <v>17</v>
      </c>
      <c r="N177">
        <v>18</v>
      </c>
      <c r="O177">
        <v>26</v>
      </c>
      <c r="P177">
        <v>54</v>
      </c>
      <c r="Q177">
        <v>68</v>
      </c>
      <c r="R177">
        <v>92</v>
      </c>
      <c r="S177">
        <v>69</v>
      </c>
      <c r="T177" s="5">
        <f>SUM(E177:P177)</f>
      </c>
      <c r="U177" s="5">
        <f>SUM(Q177:S177)</f>
      </c>
    </row>
    <row r="178">
      <c r="A178" t="str">
        <v>MT</v>
      </c>
      <c r="B178" t="str">
        <v>The Derma Co.</v>
      </c>
      <c r="C178" t="str">
        <v>Sun Care</v>
      </c>
      <c r="D178" t="str">
        <v>SOUTH-1</v>
      </c>
      <c r="E178">
        <v>24</v>
      </c>
      <c r="F178">
        <v>29</v>
      </c>
      <c r="G178">
        <v>30</v>
      </c>
      <c r="H178">
        <v>29</v>
      </c>
      <c r="I178">
        <v>31</v>
      </c>
      <c r="J178">
        <v>33</v>
      </c>
      <c r="K178">
        <v>28</v>
      </c>
      <c r="L178">
        <v>31</v>
      </c>
      <c r="M178">
        <v>40</v>
      </c>
      <c r="N178">
        <v>48</v>
      </c>
      <c r="O178">
        <v>40</v>
      </c>
      <c r="P178">
        <v>72</v>
      </c>
      <c r="Q178">
        <v>115</v>
      </c>
      <c r="R178">
        <v>131</v>
      </c>
      <c r="S178">
        <v>93</v>
      </c>
      <c r="T178" s="5">
        <f>SUM(E178:P178)</f>
      </c>
      <c r="U178" s="5">
        <f>SUM(Q178:S178)</f>
      </c>
    </row>
    <row r="179">
      <c r="A179" t="str">
        <v>MT</v>
      </c>
      <c r="B179" t="str">
        <v>The Derma Co.</v>
      </c>
      <c r="C179" t="str">
        <v>Sun Care</v>
      </c>
      <c r="D179" t="str">
        <v>SOUTH-2</v>
      </c>
      <c r="E179">
        <v>8</v>
      </c>
      <c r="F179">
        <v>9</v>
      </c>
      <c r="G179">
        <v>10</v>
      </c>
      <c r="H179">
        <v>8</v>
      </c>
      <c r="I179">
        <v>9</v>
      </c>
      <c r="J179">
        <v>10</v>
      </c>
      <c r="K179">
        <v>8</v>
      </c>
      <c r="L179">
        <v>9</v>
      </c>
      <c r="M179">
        <v>13</v>
      </c>
      <c r="N179">
        <v>17</v>
      </c>
      <c r="O179">
        <v>15</v>
      </c>
      <c r="P179">
        <v>25</v>
      </c>
      <c r="Q179">
        <v>35</v>
      </c>
      <c r="R179">
        <v>57</v>
      </c>
      <c r="S179">
        <v>35</v>
      </c>
      <c r="T179" s="5">
        <f>SUM(E179:P179)</f>
      </c>
      <c r="U179" s="5">
        <f>SUM(Q179:S179)</f>
      </c>
    </row>
    <row r="180">
      <c r="A180" t="str">
        <v>MT</v>
      </c>
      <c r="B180" t="str">
        <v>The Derma Co.</v>
      </c>
      <c r="C180" t="str">
        <v>Sun Care</v>
      </c>
      <c r="D180" t="str">
        <v>WEST</v>
      </c>
      <c r="E180">
        <v>24</v>
      </c>
      <c r="F180">
        <v>22</v>
      </c>
      <c r="G180">
        <v>15</v>
      </c>
      <c r="H180">
        <v>13</v>
      </c>
      <c r="I180">
        <v>14</v>
      </c>
      <c r="J180">
        <v>13</v>
      </c>
      <c r="K180">
        <v>23</v>
      </c>
      <c r="L180">
        <v>23</v>
      </c>
      <c r="M180">
        <v>24</v>
      </c>
      <c r="N180">
        <v>26</v>
      </c>
      <c r="O180">
        <v>38</v>
      </c>
      <c r="P180">
        <v>74</v>
      </c>
      <c r="Q180">
        <v>85</v>
      </c>
      <c r="R180">
        <v>119</v>
      </c>
      <c r="S180">
        <v>76</v>
      </c>
      <c r="T180" s="5">
        <f>SUM(E180:P180)</f>
      </c>
      <c r="U180" s="5">
        <f>SUM(Q180:S180)</f>
      </c>
    </row>
    <row r="181">
      <c r="A181" t="str">
        <v>MT</v>
      </c>
      <c r="B181" t="str">
        <v>The Derma Co.</v>
      </c>
      <c r="C181" t="str">
        <v>Face Serum</v>
      </c>
      <c r="D181" t="str">
        <v>EAST</v>
      </c>
      <c r="E181">
        <v>4</v>
      </c>
      <c r="F181">
        <v>8</v>
      </c>
      <c r="G181">
        <v>4</v>
      </c>
      <c r="H181">
        <v>5</v>
      </c>
      <c r="I181">
        <v>7</v>
      </c>
      <c r="J181">
        <v>4</v>
      </c>
      <c r="K181">
        <v>5</v>
      </c>
      <c r="L181">
        <v>6</v>
      </c>
      <c r="M181">
        <v>7</v>
      </c>
      <c r="N181">
        <v>11</v>
      </c>
      <c r="O181">
        <v>6</v>
      </c>
      <c r="P181">
        <v>5</v>
      </c>
      <c r="Q181">
        <v>6</v>
      </c>
      <c r="R181">
        <v>7</v>
      </c>
      <c r="S181">
        <v>9</v>
      </c>
      <c r="T181" s="5">
        <f>SUM(E181:P181)</f>
      </c>
      <c r="U181" s="5">
        <f>SUM(Q181:S181)</f>
      </c>
    </row>
    <row r="182">
      <c r="A182" t="str">
        <v>MT</v>
      </c>
      <c r="B182" t="str">
        <v>The Derma Co.</v>
      </c>
      <c r="C182" t="str">
        <v>Face Serum</v>
      </c>
      <c r="D182" t="str">
        <v>NORTH</v>
      </c>
      <c r="E182">
        <v>9</v>
      </c>
      <c r="F182">
        <v>8</v>
      </c>
      <c r="G182">
        <v>8</v>
      </c>
      <c r="H182">
        <v>8</v>
      </c>
      <c r="I182">
        <v>10</v>
      </c>
      <c r="J182">
        <v>7</v>
      </c>
      <c r="K182">
        <v>10</v>
      </c>
      <c r="L182">
        <v>10</v>
      </c>
      <c r="M182">
        <v>13</v>
      </c>
      <c r="N182">
        <v>14</v>
      </c>
      <c r="O182">
        <v>12</v>
      </c>
      <c r="P182">
        <v>15</v>
      </c>
      <c r="Q182">
        <v>17</v>
      </c>
      <c r="R182">
        <v>16</v>
      </c>
      <c r="S182">
        <v>16</v>
      </c>
      <c r="T182" s="5">
        <f>SUM(E182:P182)</f>
      </c>
      <c r="U182" s="5">
        <f>SUM(Q182:S182)</f>
      </c>
    </row>
    <row r="183">
      <c r="A183" t="str">
        <v>MT</v>
      </c>
      <c r="B183" t="str">
        <v>The Derma Co.</v>
      </c>
      <c r="C183" t="str">
        <v>Face Serum</v>
      </c>
      <c r="D183" t="str">
        <v>SOUTH-1</v>
      </c>
      <c r="E183">
        <v>14</v>
      </c>
      <c r="F183">
        <v>16</v>
      </c>
      <c r="G183">
        <v>17</v>
      </c>
      <c r="H183">
        <v>18</v>
      </c>
      <c r="I183">
        <v>20</v>
      </c>
      <c r="J183">
        <v>17</v>
      </c>
      <c r="K183">
        <v>20</v>
      </c>
      <c r="L183">
        <v>21</v>
      </c>
      <c r="M183">
        <v>27</v>
      </c>
      <c r="N183">
        <v>28</v>
      </c>
      <c r="O183">
        <v>24</v>
      </c>
      <c r="P183">
        <v>25</v>
      </c>
      <c r="Q183">
        <v>28</v>
      </c>
      <c r="R183">
        <v>30</v>
      </c>
      <c r="S183">
        <v>31</v>
      </c>
      <c r="T183" s="5">
        <f>SUM(E183:P183)</f>
      </c>
      <c r="U183" s="5">
        <f>SUM(Q183:S183)</f>
      </c>
    </row>
    <row r="184">
      <c r="A184" t="str">
        <v>MT</v>
      </c>
      <c r="B184" t="str">
        <v>The Derma Co.</v>
      </c>
      <c r="C184" t="str">
        <v>Face Serum</v>
      </c>
      <c r="D184" t="str">
        <v>SOUTH-2</v>
      </c>
      <c r="E184">
        <v>5</v>
      </c>
      <c r="F184">
        <v>5</v>
      </c>
      <c r="G184">
        <v>6</v>
      </c>
      <c r="H184">
        <v>6</v>
      </c>
      <c r="I184">
        <v>6</v>
      </c>
      <c r="J184">
        <v>6</v>
      </c>
      <c r="K184">
        <v>6</v>
      </c>
      <c r="L184">
        <v>7</v>
      </c>
      <c r="M184">
        <v>8</v>
      </c>
      <c r="N184">
        <v>9</v>
      </c>
      <c r="O184">
        <v>8</v>
      </c>
      <c r="P184">
        <v>8</v>
      </c>
      <c r="Q184">
        <v>10</v>
      </c>
      <c r="R184">
        <v>10</v>
      </c>
      <c r="S184">
        <v>9</v>
      </c>
      <c r="T184" s="5">
        <f>SUM(E184:P184)</f>
      </c>
      <c r="U184" s="5">
        <f>SUM(Q184:S184)</f>
      </c>
    </row>
    <row r="185">
      <c r="A185" t="str">
        <v>MT</v>
      </c>
      <c r="B185" t="str">
        <v>The Derma Co.</v>
      </c>
      <c r="C185" t="str">
        <v>Face Serum</v>
      </c>
      <c r="D185" t="str">
        <v>WEST</v>
      </c>
      <c r="E185">
        <v>18</v>
      </c>
      <c r="F185">
        <v>18</v>
      </c>
      <c r="G185">
        <v>17</v>
      </c>
      <c r="H185">
        <v>17</v>
      </c>
      <c r="I185">
        <v>18</v>
      </c>
      <c r="J185">
        <v>15</v>
      </c>
      <c r="K185">
        <v>19</v>
      </c>
      <c r="L185">
        <v>21</v>
      </c>
      <c r="M185">
        <v>20</v>
      </c>
      <c r="N185">
        <v>20</v>
      </c>
      <c r="O185">
        <v>19</v>
      </c>
      <c r="P185">
        <v>19</v>
      </c>
      <c r="Q185">
        <v>22</v>
      </c>
      <c r="R185">
        <v>19</v>
      </c>
      <c r="S185">
        <v>18</v>
      </c>
      <c r="T185" s="5">
        <f>SUM(E185:P185)</f>
      </c>
      <c r="U185" s="5">
        <f>SUM(Q185:S185)</f>
      </c>
    </row>
    <row r="186">
      <c r="A186" t="str">
        <v>MT</v>
      </c>
      <c r="B186" t="str">
        <v>The Derma Co.</v>
      </c>
      <c r="C186" t="str">
        <v>Moisturisers</v>
      </c>
      <c r="D186" t="str">
        <v>EAST</v>
      </c>
      <c r="E186">
        <v>1</v>
      </c>
      <c r="F186">
        <v>1</v>
      </c>
      <c r="G186">
        <v>0</v>
      </c>
      <c r="H186">
        <v>1</v>
      </c>
      <c r="I186">
        <v>1</v>
      </c>
      <c r="J186">
        <v>0</v>
      </c>
      <c r="K186">
        <v>0</v>
      </c>
      <c r="L186">
        <v>1</v>
      </c>
      <c r="M186">
        <v>1</v>
      </c>
      <c r="N186">
        <v>1</v>
      </c>
      <c r="O186">
        <v>0</v>
      </c>
      <c r="P186">
        <v>1</v>
      </c>
      <c r="Q186">
        <v>1</v>
      </c>
      <c r="R186">
        <v>1</v>
      </c>
      <c r="S186">
        <v>1</v>
      </c>
      <c r="T186" s="5">
        <f>SUM(E186:P186)</f>
      </c>
      <c r="U186" s="5">
        <f>SUM(Q186:S186)</f>
      </c>
    </row>
    <row r="187">
      <c r="A187" t="str">
        <v>MT</v>
      </c>
      <c r="B187" t="str">
        <v>The Derma Co.</v>
      </c>
      <c r="C187" t="str">
        <v>Moisturisers</v>
      </c>
      <c r="D187" t="str">
        <v>NORTH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2</v>
      </c>
      <c r="M187">
        <v>4</v>
      </c>
      <c r="N187">
        <v>2</v>
      </c>
      <c r="O187">
        <v>1</v>
      </c>
      <c r="P187">
        <v>2</v>
      </c>
      <c r="Q187">
        <v>2</v>
      </c>
      <c r="R187">
        <v>1</v>
      </c>
      <c r="S187">
        <v>1</v>
      </c>
      <c r="T187" s="5">
        <f>SUM(E187:P187)</f>
      </c>
      <c r="U187" s="5">
        <f>SUM(Q187:S187)</f>
      </c>
    </row>
    <row r="188">
      <c r="A188" t="str">
        <v>MT</v>
      </c>
      <c r="B188" t="str">
        <v>The Derma Co.</v>
      </c>
      <c r="C188" t="str">
        <v>Moisturisers</v>
      </c>
      <c r="D188" t="str">
        <v>SOUTH-1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4</v>
      </c>
      <c r="N188">
        <v>4</v>
      </c>
      <c r="O188">
        <v>3</v>
      </c>
      <c r="P188">
        <v>3</v>
      </c>
      <c r="Q188">
        <v>4</v>
      </c>
      <c r="R188">
        <v>3</v>
      </c>
      <c r="S188">
        <v>4</v>
      </c>
      <c r="T188" s="5">
        <f>SUM(E188:P188)</f>
      </c>
      <c r="U188" s="5">
        <f>SUM(Q188:S188)</f>
      </c>
    </row>
    <row r="189">
      <c r="A189" t="str">
        <v>MT</v>
      </c>
      <c r="B189" t="str">
        <v>The Derma Co.</v>
      </c>
      <c r="C189" t="str">
        <v>Moisturisers</v>
      </c>
      <c r="D189" t="str">
        <v>SOUTH-2</v>
      </c>
      <c r="E189">
        <v>1</v>
      </c>
      <c r="F189">
        <v>1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 s="5">
        <f>SUM(E189:P189)</f>
      </c>
      <c r="U189" s="5">
        <f>SUM(Q189:S189)</f>
      </c>
    </row>
    <row r="190">
      <c r="A190" t="str">
        <v>MT</v>
      </c>
      <c r="B190" t="str">
        <v>The Derma Co.</v>
      </c>
      <c r="C190" t="str">
        <v>Moisturisers</v>
      </c>
      <c r="D190" t="str">
        <v>WEST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3</v>
      </c>
      <c r="L190">
        <v>4</v>
      </c>
      <c r="M190">
        <v>4</v>
      </c>
      <c r="N190">
        <v>3</v>
      </c>
      <c r="O190">
        <v>3</v>
      </c>
      <c r="P190">
        <v>3</v>
      </c>
      <c r="Q190">
        <v>3</v>
      </c>
      <c r="R190">
        <v>3</v>
      </c>
      <c r="S190">
        <v>2</v>
      </c>
      <c r="T190" s="5">
        <f>SUM(E190:P190)</f>
      </c>
      <c r="U190" s="5">
        <f>SUM(Q190:S190)</f>
      </c>
    </row>
    <row r="191">
      <c r="A191" t="str">
        <v>MT</v>
      </c>
      <c r="B191" t="str">
        <v>The Derma Co.</v>
      </c>
      <c r="C191" t="str">
        <v>Face Masks</v>
      </c>
      <c r="D191" t="str">
        <v>SOUTH-1</v>
      </c>
      <c r="E191">
        <v>1</v>
      </c>
      <c r="F191">
        <v>1</v>
      </c>
      <c r="G191">
        <v>1</v>
      </c>
      <c r="H191">
        <v>2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2</v>
      </c>
      <c r="T191" s="5">
        <f>SUM(E191:P191)</f>
      </c>
      <c r="U191" s="5">
        <f>SUM(Q191:S191)</f>
      </c>
    </row>
    <row r="192">
      <c r="A192" t="str">
        <v>MT</v>
      </c>
      <c r="B192" t="str">
        <v>The Derma Co.</v>
      </c>
      <c r="C192" t="str">
        <v>Face Masks</v>
      </c>
      <c r="D192" t="str">
        <v>SOUTH-2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 s="5">
        <f>SUM(E192:P192)</f>
      </c>
      <c r="U192" s="5">
        <f>SUM(Q192:S192)</f>
      </c>
    </row>
    <row r="193">
      <c r="A193" t="str">
        <v>MT</v>
      </c>
      <c r="B193" t="str">
        <v>The Derma Co.</v>
      </c>
      <c r="C193" t="str">
        <v>Face Masks</v>
      </c>
      <c r="D193" t="str">
        <v>WEST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3</v>
      </c>
      <c r="L193">
        <v>3</v>
      </c>
      <c r="M193">
        <v>1</v>
      </c>
      <c r="N193">
        <v>1</v>
      </c>
      <c r="O193">
        <v>2</v>
      </c>
      <c r="P193">
        <v>2</v>
      </c>
      <c r="Q193">
        <v>2</v>
      </c>
      <c r="R193">
        <v>2</v>
      </c>
      <c r="S193">
        <v>2</v>
      </c>
      <c r="T193" s="5">
        <f>SUM(E193:P193)</f>
      </c>
      <c r="U193" s="5">
        <f>SUM(Q193:S193)</f>
      </c>
    </row>
    <row r="194">
      <c r="A194" t="str">
        <v>MT</v>
      </c>
      <c r="B194" t="str">
        <v>The Derma Co.</v>
      </c>
      <c r="C194" t="str">
        <v>Cream</v>
      </c>
      <c r="D194" t="str">
        <v>NORTH</v>
      </c>
      <c r="E194">
        <v>1</v>
      </c>
      <c r="F194">
        <v>0</v>
      </c>
      <c r="G194">
        <v>1</v>
      </c>
      <c r="H194">
        <v>1</v>
      </c>
      <c r="I194">
        <v>0</v>
      </c>
      <c r="J194">
        <v>0</v>
      </c>
      <c r="K194">
        <v>1</v>
      </c>
      <c r="L194">
        <v>0</v>
      </c>
      <c r="M194">
        <v>1</v>
      </c>
      <c r="N194">
        <v>1</v>
      </c>
      <c r="O194">
        <v>0</v>
      </c>
      <c r="P194">
        <v>1</v>
      </c>
      <c r="Q194">
        <v>1</v>
      </c>
      <c r="R194">
        <v>0</v>
      </c>
      <c r="S194">
        <v>0</v>
      </c>
      <c r="T194" s="5">
        <f>SUM(E194:P194)</f>
      </c>
      <c r="U194" s="5">
        <f>SUM(Q194:S194)</f>
      </c>
    </row>
    <row r="195">
      <c r="A195" t="str">
        <v>MT</v>
      </c>
      <c r="B195" t="str">
        <v>The Derma Co.</v>
      </c>
      <c r="C195" t="str">
        <v>Cream</v>
      </c>
      <c r="D195" t="str">
        <v>SOUTH-1</v>
      </c>
      <c r="E195">
        <v>1</v>
      </c>
      <c r="F195">
        <v>1</v>
      </c>
      <c r="G195">
        <v>1</v>
      </c>
      <c r="H195">
        <v>1</v>
      </c>
      <c r="I195">
        <v>2</v>
      </c>
      <c r="J195">
        <v>1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 s="5">
        <f>SUM(E195:P195)</f>
      </c>
      <c r="U195" s="5">
        <f>SUM(Q195:S195)</f>
      </c>
    </row>
    <row r="196">
      <c r="A196" t="str">
        <v>MT</v>
      </c>
      <c r="B196" t="str">
        <v>The Derma Co.</v>
      </c>
      <c r="C196" t="str">
        <v>Cream</v>
      </c>
      <c r="D196" t="str">
        <v>SOUTH-2</v>
      </c>
      <c r="E196">
        <v>0</v>
      </c>
      <c r="F196">
        <v>0</v>
      </c>
      <c r="G196">
        <v>1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 s="5">
        <f>SUM(E196:P196)</f>
      </c>
      <c r="U196" s="5">
        <f>SUM(Q196:S196)</f>
      </c>
    </row>
    <row r="197">
      <c r="A197" t="str">
        <v>MT</v>
      </c>
      <c r="B197" t="str">
        <v>The Derma Co.</v>
      </c>
      <c r="C197" t="str">
        <v>Cream</v>
      </c>
      <c r="D197" t="str">
        <v>WEST</v>
      </c>
      <c r="E197">
        <v>2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 s="5">
        <f>SUM(E197:P197)</f>
      </c>
      <c r="U197" s="5">
        <f>SUM(Q197:S197)</f>
      </c>
    </row>
    <row r="198">
      <c r="A198" t="str">
        <v>MT</v>
      </c>
      <c r="B198" t="str">
        <v>The Derma Co.</v>
      </c>
      <c r="C198" t="str">
        <v>Shampoo</v>
      </c>
      <c r="D198" t="str">
        <v>NORTH</v>
      </c>
      <c r="P198">
        <v>0</v>
      </c>
      <c r="Q198">
        <v>0</v>
      </c>
      <c r="R198">
        <v>1</v>
      </c>
      <c r="S198">
        <v>1</v>
      </c>
      <c r="T198" s="5">
        <f>SUM(E198:P198)</f>
      </c>
      <c r="U198" s="5">
        <f>SUM(Q198:S198)</f>
      </c>
    </row>
    <row r="199">
      <c r="A199" t="str">
        <v>MT</v>
      </c>
      <c r="B199" t="str">
        <v>The Derma Co.</v>
      </c>
      <c r="C199" t="str">
        <v>Shampoo</v>
      </c>
      <c r="D199" t="str">
        <v>SOUTH-1</v>
      </c>
      <c r="L199">
        <v>0</v>
      </c>
      <c r="N199">
        <v>0</v>
      </c>
      <c r="P199">
        <v>0</v>
      </c>
      <c r="Q199">
        <v>1</v>
      </c>
      <c r="R199">
        <v>1</v>
      </c>
      <c r="S199">
        <v>1</v>
      </c>
      <c r="T199" s="5">
        <f>SUM(E199:P199)</f>
      </c>
      <c r="U199" s="5">
        <f>SUM(Q199:S199)</f>
      </c>
    </row>
    <row r="200">
      <c r="A200" t="str">
        <v>MT</v>
      </c>
      <c r="B200" t="str">
        <v>The Derma Co.</v>
      </c>
      <c r="C200" t="str">
        <v>Lip Balm</v>
      </c>
      <c r="D200" t="str">
        <v>SOUTH-1</v>
      </c>
      <c r="E200">
        <v>1</v>
      </c>
      <c r="F200">
        <v>1</v>
      </c>
      <c r="G200">
        <v>1</v>
      </c>
      <c r="H200">
        <v>1</v>
      </c>
      <c r="I200">
        <v>3</v>
      </c>
      <c r="J200">
        <v>3</v>
      </c>
      <c r="K200">
        <v>3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 s="5">
        <f>SUM(E200:P200)</f>
      </c>
      <c r="U200" s="5">
        <f>SUM(Q200:S200)</f>
      </c>
    </row>
    <row r="201">
      <c r="A201" t="str">
        <v>MT</v>
      </c>
      <c r="B201" t="str">
        <v>The Derma Co.</v>
      </c>
      <c r="C201" t="str">
        <v>Lip Balm</v>
      </c>
      <c r="D201" t="str">
        <v>SOUTH-2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 s="5">
        <f>SUM(E201:P201)</f>
      </c>
      <c r="U201" s="5">
        <f>SUM(Q201:S201)</f>
      </c>
    </row>
    <row r="202">
      <c r="A202" t="str">
        <v>MT</v>
      </c>
      <c r="B202" t="str">
        <v>The Derma Co.</v>
      </c>
      <c r="C202" t="str">
        <v>Soap</v>
      </c>
      <c r="D202" t="str">
        <v>SOUTH-1</v>
      </c>
      <c r="H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 s="5">
        <f>SUM(E202:P202)</f>
      </c>
      <c r="U202" s="5">
        <f>SUM(Q202:S202)</f>
      </c>
    </row>
    <row r="203">
      <c r="A203" t="str">
        <v>MT</v>
      </c>
      <c r="B203" t="str">
        <v>Aqualogica</v>
      </c>
      <c r="C203" t="str">
        <v>Sun Care</v>
      </c>
      <c r="D203" t="str">
        <v>EAST</v>
      </c>
      <c r="E203">
        <v>6</v>
      </c>
      <c r="F203">
        <v>7</v>
      </c>
      <c r="G203">
        <v>5</v>
      </c>
      <c r="H203">
        <v>4</v>
      </c>
      <c r="I203">
        <v>4</v>
      </c>
      <c r="J203">
        <v>3</v>
      </c>
      <c r="K203">
        <v>4</v>
      </c>
      <c r="L203">
        <v>4</v>
      </c>
      <c r="M203">
        <v>4</v>
      </c>
      <c r="N203">
        <v>5</v>
      </c>
      <c r="O203">
        <v>6</v>
      </c>
      <c r="P203">
        <v>6</v>
      </c>
      <c r="Q203">
        <v>7</v>
      </c>
      <c r="R203">
        <v>6</v>
      </c>
      <c r="S203">
        <v>5</v>
      </c>
      <c r="T203" s="5">
        <f>SUM(E203:P203)</f>
      </c>
      <c r="U203" s="5">
        <f>SUM(Q203:S203)</f>
      </c>
    </row>
    <row r="204">
      <c r="A204" t="str">
        <v>MT</v>
      </c>
      <c r="B204" t="str">
        <v>Aqualogica</v>
      </c>
      <c r="C204" t="str">
        <v>Sun Care</v>
      </c>
      <c r="D204" t="str">
        <v>NORTH</v>
      </c>
      <c r="E204">
        <v>10</v>
      </c>
      <c r="F204">
        <v>11</v>
      </c>
      <c r="G204">
        <v>8</v>
      </c>
      <c r="H204">
        <v>6</v>
      </c>
      <c r="I204">
        <v>6</v>
      </c>
      <c r="J204">
        <v>5</v>
      </c>
      <c r="K204">
        <v>6</v>
      </c>
      <c r="L204">
        <v>5</v>
      </c>
      <c r="M204">
        <v>5</v>
      </c>
      <c r="N204">
        <v>6</v>
      </c>
      <c r="O204">
        <v>6</v>
      </c>
      <c r="P204">
        <v>13</v>
      </c>
      <c r="Q204">
        <v>13</v>
      </c>
      <c r="R204">
        <v>19</v>
      </c>
      <c r="S204">
        <v>19</v>
      </c>
      <c r="T204" s="5">
        <f>SUM(E204:P204)</f>
      </c>
      <c r="U204" s="5">
        <f>SUM(Q204:S204)</f>
      </c>
    </row>
    <row r="205">
      <c r="A205" t="str">
        <v>MT</v>
      </c>
      <c r="B205" t="str">
        <v>Aqualogica</v>
      </c>
      <c r="C205" t="str">
        <v>Sun Care</v>
      </c>
      <c r="D205" t="str">
        <v>SOUTH-1</v>
      </c>
      <c r="E205">
        <v>13</v>
      </c>
      <c r="F205">
        <v>15</v>
      </c>
      <c r="G205">
        <v>11</v>
      </c>
      <c r="H205">
        <v>10</v>
      </c>
      <c r="I205">
        <v>11</v>
      </c>
      <c r="J205">
        <v>11</v>
      </c>
      <c r="K205">
        <v>9</v>
      </c>
      <c r="L205">
        <v>9</v>
      </c>
      <c r="M205">
        <v>7</v>
      </c>
      <c r="N205">
        <v>11</v>
      </c>
      <c r="O205">
        <v>10</v>
      </c>
      <c r="P205">
        <v>11</v>
      </c>
      <c r="Q205">
        <v>15</v>
      </c>
      <c r="R205">
        <v>15</v>
      </c>
      <c r="S205">
        <v>14</v>
      </c>
      <c r="T205" s="5">
        <f>SUM(E205:P205)</f>
      </c>
      <c r="U205" s="5">
        <f>SUM(Q205:S205)</f>
      </c>
    </row>
    <row r="206">
      <c r="A206" t="str">
        <v>MT</v>
      </c>
      <c r="B206" t="str">
        <v>Aqualogica</v>
      </c>
      <c r="C206" t="str">
        <v>Sun Care</v>
      </c>
      <c r="D206" t="str">
        <v>SOUTH-2</v>
      </c>
      <c r="E206">
        <v>4</v>
      </c>
      <c r="F206">
        <v>5</v>
      </c>
      <c r="G206">
        <v>4</v>
      </c>
      <c r="H206">
        <v>3</v>
      </c>
      <c r="I206">
        <v>3</v>
      </c>
      <c r="J206">
        <v>2</v>
      </c>
      <c r="K206">
        <v>2</v>
      </c>
      <c r="L206">
        <v>2</v>
      </c>
      <c r="M206">
        <v>2</v>
      </c>
      <c r="N206">
        <v>3</v>
      </c>
      <c r="O206">
        <v>3</v>
      </c>
      <c r="P206">
        <v>5</v>
      </c>
      <c r="Q206">
        <v>6</v>
      </c>
      <c r="R206">
        <v>7</v>
      </c>
      <c r="S206">
        <v>5</v>
      </c>
      <c r="T206" s="5">
        <f>SUM(E206:P206)</f>
      </c>
      <c r="U206" s="5">
        <f>SUM(Q206:S206)</f>
      </c>
    </row>
    <row r="207">
      <c r="A207" t="str">
        <v>MT</v>
      </c>
      <c r="B207" t="str">
        <v>Aqualogica</v>
      </c>
      <c r="C207" t="str">
        <v>Sun Care</v>
      </c>
      <c r="D207" t="str">
        <v>WEST</v>
      </c>
      <c r="E207">
        <v>9</v>
      </c>
      <c r="F207">
        <v>7</v>
      </c>
      <c r="G207">
        <v>5</v>
      </c>
      <c r="H207">
        <v>4</v>
      </c>
      <c r="I207">
        <v>4</v>
      </c>
      <c r="J207">
        <v>3</v>
      </c>
      <c r="K207">
        <v>6</v>
      </c>
      <c r="L207">
        <v>5</v>
      </c>
      <c r="M207">
        <v>5</v>
      </c>
      <c r="N207">
        <v>6</v>
      </c>
      <c r="O207">
        <v>7</v>
      </c>
      <c r="P207">
        <v>11</v>
      </c>
      <c r="Q207">
        <v>12</v>
      </c>
      <c r="R207">
        <v>13</v>
      </c>
      <c r="S207">
        <v>10</v>
      </c>
      <c r="T207" s="5">
        <f>SUM(E207:P207)</f>
      </c>
      <c r="U207" s="5">
        <f>SUM(Q207:S207)</f>
      </c>
    </row>
    <row r="208">
      <c r="A208" t="str">
        <v>MT</v>
      </c>
      <c r="B208" t="str">
        <v>Aqualogica</v>
      </c>
      <c r="C208" t="str">
        <v>Face Cleanser</v>
      </c>
      <c r="D208" t="str">
        <v>EAST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0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0</v>
      </c>
      <c r="T208" s="5">
        <f>SUM(E208:P208)</f>
      </c>
      <c r="U208" s="5">
        <f>SUM(Q208:S208)</f>
      </c>
    </row>
    <row r="209">
      <c r="A209" t="str">
        <v>MT</v>
      </c>
      <c r="B209" t="str">
        <v>Aqualogica</v>
      </c>
      <c r="C209" t="str">
        <v>Face Cleanser</v>
      </c>
      <c r="D209" t="str">
        <v>NORTH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 s="5">
        <f>SUM(E209:P209)</f>
      </c>
      <c r="U209" s="5">
        <f>SUM(Q209:S209)</f>
      </c>
    </row>
    <row r="210">
      <c r="A210" t="str">
        <v>MT</v>
      </c>
      <c r="B210" t="str">
        <v>Aqualogica</v>
      </c>
      <c r="C210" t="str">
        <v>Face Cleanser</v>
      </c>
      <c r="D210" t="str">
        <v>SOUTH-1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1</v>
      </c>
      <c r="L210">
        <v>2</v>
      </c>
      <c r="M210">
        <v>1</v>
      </c>
      <c r="N210">
        <v>2</v>
      </c>
      <c r="O210">
        <v>1</v>
      </c>
      <c r="P210">
        <v>1</v>
      </c>
      <c r="Q210">
        <v>2</v>
      </c>
      <c r="R210">
        <v>2</v>
      </c>
      <c r="S210">
        <v>1</v>
      </c>
      <c r="T210" s="5">
        <f>SUM(E210:P210)</f>
      </c>
      <c r="U210" s="5">
        <f>SUM(Q210:S210)</f>
      </c>
    </row>
    <row r="211">
      <c r="A211" t="str">
        <v>MT</v>
      </c>
      <c r="B211" t="str">
        <v>Aqualogica</v>
      </c>
      <c r="C211" t="str">
        <v>Face Cleanser</v>
      </c>
      <c r="D211" t="str">
        <v>SOUTH-2</v>
      </c>
      <c r="E211">
        <v>1</v>
      </c>
      <c r="F211">
        <v>1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 s="5">
        <f>SUM(E211:P211)</f>
      </c>
      <c r="U211" s="5">
        <f>SUM(Q211:S211)</f>
      </c>
    </row>
    <row r="212">
      <c r="A212" t="str">
        <v>MT</v>
      </c>
      <c r="B212" t="str">
        <v>Aqualogica</v>
      </c>
      <c r="C212" t="str">
        <v>Face Cleanser</v>
      </c>
      <c r="D212" t="str">
        <v>WEST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 s="5">
        <f>SUM(E212:P212)</f>
      </c>
      <c r="U212" s="5">
        <f>SUM(Q212:S212)</f>
      </c>
    </row>
    <row r="213">
      <c r="A213" t="str">
        <v>MT</v>
      </c>
      <c r="B213" t="str">
        <v>Aqualogica</v>
      </c>
      <c r="C213" t="str">
        <v>Moisturisers</v>
      </c>
      <c r="D213" t="str">
        <v>EAST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0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0</v>
      </c>
      <c r="T213" s="5">
        <f>SUM(E213:P213)</f>
      </c>
      <c r="U213" s="5">
        <f>SUM(Q213:S213)</f>
      </c>
    </row>
    <row r="214">
      <c r="A214" t="str">
        <v>MT</v>
      </c>
      <c r="B214" t="str">
        <v>Aqualogica</v>
      </c>
      <c r="C214" t="str">
        <v>Moisturisers</v>
      </c>
      <c r="D214" t="str">
        <v>NORTH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0</v>
      </c>
      <c r="P214">
        <v>1</v>
      </c>
      <c r="Q214">
        <v>0</v>
      </c>
      <c r="R214">
        <v>0</v>
      </c>
      <c r="S214">
        <v>0</v>
      </c>
      <c r="T214" s="5">
        <f>SUM(E214:P214)</f>
      </c>
      <c r="U214" s="5">
        <f>SUM(Q214:S214)</f>
      </c>
    </row>
    <row r="215">
      <c r="A215" t="str">
        <v>MT</v>
      </c>
      <c r="B215" t="str">
        <v>Aqualogica</v>
      </c>
      <c r="C215" t="str">
        <v>Moisturisers</v>
      </c>
      <c r="D215" t="str">
        <v>SOUTH-1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1</v>
      </c>
      <c r="K215">
        <v>1</v>
      </c>
      <c r="L215">
        <v>2</v>
      </c>
      <c r="M215">
        <v>1</v>
      </c>
      <c r="N215">
        <v>2</v>
      </c>
      <c r="O215">
        <v>1</v>
      </c>
      <c r="P215">
        <v>1</v>
      </c>
      <c r="Q215">
        <v>1</v>
      </c>
      <c r="R215">
        <v>1</v>
      </c>
      <c r="S215">
        <v>1</v>
      </c>
      <c r="T215" s="5">
        <f>SUM(E215:P215)</f>
      </c>
      <c r="U215" s="5">
        <f>SUM(Q215:S215)</f>
      </c>
    </row>
    <row r="216">
      <c r="A216" t="str">
        <v>MT</v>
      </c>
      <c r="B216" t="str">
        <v>Aqualogica</v>
      </c>
      <c r="C216" t="str">
        <v>Moisturisers</v>
      </c>
      <c r="D216" t="str">
        <v>SOUTH-2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 s="5">
        <f>SUM(E216:P216)</f>
      </c>
      <c r="U216" s="5">
        <f>SUM(Q216:S216)</f>
      </c>
    </row>
    <row r="217">
      <c r="A217" t="str">
        <v>MT</v>
      </c>
      <c r="B217" t="str">
        <v>Aqualogica</v>
      </c>
      <c r="C217" t="str">
        <v>Moisturisers</v>
      </c>
      <c r="D217" t="str">
        <v>WEST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 s="5">
        <f>SUM(E217:P217)</f>
      </c>
      <c r="U217" s="5">
        <f>SUM(Q217:S217)</f>
      </c>
    </row>
    <row r="218">
      <c r="A218" t="str">
        <v>MT</v>
      </c>
      <c r="B218" t="str">
        <v>Aqualogica</v>
      </c>
      <c r="C218" t="str">
        <v>Body Mist</v>
      </c>
      <c r="D218" t="str">
        <v>SOUTH-1</v>
      </c>
      <c r="Q218">
        <v>0</v>
      </c>
      <c r="R218">
        <v>1</v>
      </c>
      <c r="T218" s="5">
        <f>SUM(E218:P218)</f>
      </c>
      <c r="U218" s="5">
        <f>SUM(Q218:S218)</f>
      </c>
    </row>
    <row r="219">
      <c r="A219" t="str">
        <v>MT</v>
      </c>
      <c r="B219" t="str">
        <v>BBLUNT</v>
      </c>
      <c r="C219" t="str">
        <v>Hair Spray</v>
      </c>
      <c r="D219" t="str">
        <v>SOUTH-1</v>
      </c>
      <c r="E219">
        <v>2</v>
      </c>
      <c r="F219">
        <v>2</v>
      </c>
      <c r="G219">
        <v>2</v>
      </c>
      <c r="H219">
        <v>2</v>
      </c>
      <c r="I219">
        <v>3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3</v>
      </c>
      <c r="P219">
        <v>2</v>
      </c>
      <c r="Q219">
        <v>2</v>
      </c>
      <c r="R219">
        <v>2</v>
      </c>
      <c r="S219">
        <v>2</v>
      </c>
      <c r="T219" s="5">
        <f>SUM(E219:P219)</f>
      </c>
      <c r="U219" s="5">
        <f>SUM(Q219:S219)</f>
      </c>
    </row>
    <row r="220">
      <c r="A220" t="str">
        <v>MT</v>
      </c>
      <c r="B220" t="str">
        <v>BBLUNT</v>
      </c>
      <c r="C220" t="str">
        <v>Hair Spray</v>
      </c>
      <c r="D220" t="str">
        <v>SOUTH-2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0</v>
      </c>
      <c r="O220">
        <v>1</v>
      </c>
      <c r="P220">
        <v>1</v>
      </c>
      <c r="Q220">
        <v>1</v>
      </c>
      <c r="R220">
        <v>1</v>
      </c>
      <c r="S220">
        <v>1</v>
      </c>
      <c r="T220" s="5">
        <f>SUM(E220:P220)</f>
      </c>
      <c r="U220" s="5">
        <f>SUM(Q220:S220)</f>
      </c>
    </row>
    <row r="221">
      <c r="A221" t="str">
        <v>MT</v>
      </c>
      <c r="B221" t="str">
        <v>BBLUNT</v>
      </c>
      <c r="C221" t="str">
        <v>Shampoo</v>
      </c>
      <c r="D221" t="str">
        <v>EAST</v>
      </c>
      <c r="E221">
        <v>1</v>
      </c>
      <c r="F221">
        <v>2</v>
      </c>
      <c r="G221">
        <v>1</v>
      </c>
      <c r="H221">
        <v>1</v>
      </c>
      <c r="I221">
        <v>2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 s="5">
        <f>SUM(E221:P221)</f>
      </c>
      <c r="U221" s="5">
        <f>SUM(Q221:S221)</f>
      </c>
    </row>
    <row r="222">
      <c r="A222" t="str">
        <v>MT</v>
      </c>
      <c r="B222" t="str">
        <v>BBLUNT</v>
      </c>
      <c r="C222" t="str">
        <v>Shampoo</v>
      </c>
      <c r="D222" t="str">
        <v>NORTH</v>
      </c>
      <c r="E222">
        <v>1</v>
      </c>
      <c r="F222">
        <v>2</v>
      </c>
      <c r="G222">
        <v>1</v>
      </c>
      <c r="H222">
        <v>1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 s="5">
        <f>SUM(E222:P222)</f>
      </c>
      <c r="U222" s="5">
        <f>SUM(Q222:S222)</f>
      </c>
    </row>
    <row r="223">
      <c r="A223" t="str">
        <v>MT</v>
      </c>
      <c r="B223" t="str">
        <v>BBLUNT</v>
      </c>
      <c r="C223" t="str">
        <v>Shampoo</v>
      </c>
      <c r="D223" t="str">
        <v>SOUTH-1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 s="5">
        <f>SUM(E223:P223)</f>
      </c>
      <c r="U223" s="5">
        <f>SUM(Q223:S223)</f>
      </c>
    </row>
    <row r="224">
      <c r="A224" t="str">
        <v>MT</v>
      </c>
      <c r="B224" t="str">
        <v>BBLUNT</v>
      </c>
      <c r="C224" t="str">
        <v>Shampoo</v>
      </c>
      <c r="D224" t="str">
        <v>SOUTH-2</v>
      </c>
      <c r="E224">
        <v>0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s="5">
        <f>SUM(E224:P224)</f>
      </c>
      <c r="U224" s="5">
        <f>SUM(Q224:S224)</f>
      </c>
    </row>
    <row r="225">
      <c r="A225" t="str">
        <v>MT</v>
      </c>
      <c r="B225" t="str">
        <v>BBLUNT</v>
      </c>
      <c r="C225" t="str">
        <v>Creme Hair Colour</v>
      </c>
      <c r="D225" t="str">
        <v>EAST</v>
      </c>
      <c r="E225">
        <v>0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s="5">
        <f>SUM(E225:P225)</f>
      </c>
      <c r="U225" s="5">
        <f>SUM(Q225:S225)</f>
      </c>
    </row>
    <row r="226">
      <c r="A226" t="str">
        <v>MT</v>
      </c>
      <c r="B226" t="str">
        <v>BBLUNT</v>
      </c>
      <c r="C226" t="str">
        <v>Creme Hair Colour</v>
      </c>
      <c r="D226" t="str">
        <v>NORTH</v>
      </c>
      <c r="E226">
        <v>1</v>
      </c>
      <c r="F226">
        <v>1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s="5">
        <f>SUM(E226:P226)</f>
      </c>
      <c r="U226" s="5">
        <f>SUM(Q226:S226)</f>
      </c>
    </row>
    <row r="227">
      <c r="A227" t="str">
        <v>MT</v>
      </c>
      <c r="B227" t="str">
        <v>BBLUNT</v>
      </c>
      <c r="C227" t="str">
        <v>Creme Hair Colour</v>
      </c>
      <c r="D227" t="str">
        <v>SOUTH-1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 s="5">
        <f>SUM(E227:P227)</f>
      </c>
      <c r="U227" s="5">
        <f>SUM(Q227:S227)</f>
      </c>
    </row>
    <row r="228">
      <c r="A228" t="str">
        <v>MT</v>
      </c>
      <c r="B228" t="str">
        <v>BBLUNT</v>
      </c>
      <c r="C228" t="str">
        <v>5 Minute Shampoo</v>
      </c>
      <c r="D228" t="str">
        <v>SOUTH-1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1</v>
      </c>
      <c r="L228">
        <v>1</v>
      </c>
      <c r="M228">
        <v>1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 s="5">
        <f>SUM(E228:P228)</f>
      </c>
      <c r="U228" s="5">
        <f>SUM(Q228:S228)</f>
      </c>
    </row>
    <row r="229">
      <c r="A229" t="str">
        <v>MT</v>
      </c>
      <c r="B229" t="str">
        <v>Dr. Sheth's</v>
      </c>
      <c r="C229" t="str">
        <v>Sun Care</v>
      </c>
      <c r="D229" t="str">
        <v>WEST</v>
      </c>
      <c r="P229">
        <v>0</v>
      </c>
      <c r="Q229">
        <v>1</v>
      </c>
      <c r="R229">
        <v>1</v>
      </c>
      <c r="S229">
        <v>1</v>
      </c>
      <c r="T229" s="5">
        <f>SUM(E229:P229)</f>
      </c>
      <c r="U229" s="5">
        <f>SUM(Q229:S229)</f>
      </c>
    </row>
  </sheetData>
  <ignoredErrors>
    <ignoredError numberStoredAsText="1" sqref="A1:U22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T109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11.83203125" customWidth="1"/>
    <col min="20" max="20" width="13.83203125" customWidth="1"/>
  </cols>
  <sheetData>
    <row r="1">
      <c r="A1" t="str">
        <v>Channel</v>
      </c>
      <c r="B1" t="str">
        <v>Zone</v>
      </c>
      <c r="C1" t="str">
        <v>Chain</v>
      </c>
      <c r="D1" t="str">
        <v>Apr-25</v>
      </c>
      <c r="E1" t="str">
        <v>May-25</v>
      </c>
      <c r="F1" t="str">
        <v>Jun-25</v>
      </c>
      <c r="G1" t="str">
        <v>Jul-25</v>
      </c>
      <c r="H1" t="str">
        <v>Aug-25</v>
      </c>
      <c r="I1" t="str">
        <v>Sep-25</v>
      </c>
      <c r="J1" t="str">
        <v>Oct-25</v>
      </c>
      <c r="K1" t="str">
        <v>Nov-25</v>
      </c>
      <c r="L1" t="str">
        <v>Dec-25</v>
      </c>
      <c r="M1" t="str">
        <v>Jan-26</v>
      </c>
      <c r="N1" t="str">
        <v>Feb-26</v>
      </c>
      <c r="O1" t="str">
        <v>Mar-26</v>
      </c>
      <c r="P1" t="str">
        <v>Apr-26</v>
      </c>
      <c r="Q1" t="str">
        <v>May-26</v>
      </c>
      <c r="R1" t="str">
        <v>Jun-26</v>
      </c>
      <c r="S1" t="str">
        <v>FY26 Total</v>
      </c>
      <c r="T1" t="str">
        <v>Q1 FY27 (Apr-Jun26)</v>
      </c>
    </row>
    <row r="2">
      <c r="A2" t="str">
        <v>EB2B</v>
      </c>
      <c r="B2" t="str">
        <v>East</v>
      </c>
      <c r="C2" t="str">
        <v>Nykaa SS(fsn)</v>
      </c>
      <c r="D2">
        <v>89.44</v>
      </c>
      <c r="E2">
        <v>54.71</v>
      </c>
      <c r="F2">
        <v>63.56</v>
      </c>
      <c r="G2">
        <v>66.07</v>
      </c>
      <c r="H2">
        <v>45.15</v>
      </c>
      <c r="I2">
        <v>50.63</v>
      </c>
      <c r="J2">
        <v>35.54</v>
      </c>
      <c r="K2">
        <v>53.25</v>
      </c>
      <c r="L2">
        <v>52.88</v>
      </c>
      <c r="M2">
        <v>61.63</v>
      </c>
      <c r="N2">
        <v>55.65</v>
      </c>
      <c r="O2">
        <v>52.92</v>
      </c>
      <c r="P2">
        <v>90.86</v>
      </c>
      <c r="Q2">
        <v>62.24</v>
      </c>
      <c r="R2">
        <v>72.12</v>
      </c>
      <c r="S2" s="5">
        <f>SUM(D2:O2)</f>
      </c>
      <c r="T2" s="5">
        <f>SUM(P2:R2)</f>
      </c>
    </row>
    <row r="3">
      <c r="A3" t="str">
        <v>EB2B</v>
      </c>
      <c r="B3" t="str">
        <v>North</v>
      </c>
      <c r="C3" t="str">
        <v>Ascent Wellness</v>
      </c>
      <c r="F3">
        <v>-0.03</v>
      </c>
      <c r="H3">
        <v>-0.39</v>
      </c>
      <c r="I3">
        <v>-0.25</v>
      </c>
      <c r="S3" s="5">
        <f>SUM(D3:O3)</f>
      </c>
      <c r="T3" s="5">
        <f>SUM(P3:R3)</f>
      </c>
    </row>
    <row r="4">
      <c r="A4" t="str">
        <v>EB2B</v>
      </c>
      <c r="B4" t="str">
        <v>North</v>
      </c>
      <c r="C4" t="str">
        <v>Eremedium</v>
      </c>
      <c r="D4">
        <v>10.2</v>
      </c>
      <c r="E4">
        <v>-4.47</v>
      </c>
      <c r="F4">
        <v>12.38</v>
      </c>
      <c r="G4">
        <v>5.64</v>
      </c>
      <c r="I4">
        <v>14.08</v>
      </c>
      <c r="K4">
        <v>10.67</v>
      </c>
      <c r="L4">
        <v>5.78</v>
      </c>
      <c r="M4">
        <v>6.06</v>
      </c>
      <c r="N4">
        <v>6.12</v>
      </c>
      <c r="P4">
        <v>7.55</v>
      </c>
      <c r="Q4">
        <v>6.31</v>
      </c>
      <c r="S4" s="5">
        <f>SUM(D4:O4)</f>
      </c>
      <c r="T4" s="5">
        <f>SUM(P4:R4)</f>
      </c>
    </row>
    <row r="5">
      <c r="A5" t="str">
        <v>EB2B</v>
      </c>
      <c r="B5" t="str">
        <v>North</v>
      </c>
      <c r="C5" t="str">
        <v>Nykaa SS(fsn)</v>
      </c>
      <c r="D5">
        <v>62.54</v>
      </c>
      <c r="E5">
        <v>37.57</v>
      </c>
      <c r="F5">
        <v>38.12</v>
      </c>
      <c r="G5">
        <v>51.55</v>
      </c>
      <c r="H5">
        <v>26.98</v>
      </c>
      <c r="I5">
        <v>33.34</v>
      </c>
      <c r="J5">
        <v>32.5</v>
      </c>
      <c r="K5">
        <v>36.77</v>
      </c>
      <c r="L5">
        <v>25.52</v>
      </c>
      <c r="M5">
        <v>40.11</v>
      </c>
      <c r="N5">
        <v>32.12</v>
      </c>
      <c r="O5">
        <v>40.56</v>
      </c>
      <c r="P5">
        <v>70.43</v>
      </c>
      <c r="Q5">
        <v>46.26</v>
      </c>
      <c r="R5">
        <v>52.04</v>
      </c>
      <c r="S5" s="5">
        <f>SUM(D5:O5)</f>
      </c>
      <c r="T5" s="5">
        <f>SUM(P5:R5)</f>
      </c>
    </row>
    <row r="6">
      <c r="A6" t="str">
        <v>EB2B</v>
      </c>
      <c r="B6" t="str">
        <v>South-1</v>
      </c>
      <c r="C6" t="str">
        <v>Ascent Wellness</v>
      </c>
      <c r="D6">
        <v>6.07</v>
      </c>
      <c r="E6">
        <v>5.34</v>
      </c>
      <c r="F6">
        <v>6.45</v>
      </c>
      <c r="G6">
        <v>9.13</v>
      </c>
      <c r="S6" s="5">
        <f>SUM(D6:O6)</f>
      </c>
      <c r="T6" s="5">
        <f>SUM(P6:R6)</f>
      </c>
    </row>
    <row r="7">
      <c r="A7" t="str">
        <v>EB2B</v>
      </c>
      <c r="B7" t="str">
        <v>South-1</v>
      </c>
      <c r="C7" t="str">
        <v>Nykaa SS(fsn)</v>
      </c>
      <c r="D7">
        <v>45.48</v>
      </c>
      <c r="E7">
        <v>30.79</v>
      </c>
      <c r="F7">
        <v>22.7</v>
      </c>
      <c r="G7">
        <v>28.25</v>
      </c>
      <c r="H7">
        <v>19.75</v>
      </c>
      <c r="I7">
        <v>28.49</v>
      </c>
      <c r="J7">
        <v>35.44</v>
      </c>
      <c r="K7">
        <v>27.54</v>
      </c>
      <c r="L7">
        <v>24.22</v>
      </c>
      <c r="M7">
        <v>53.95</v>
      </c>
      <c r="N7">
        <v>26.12</v>
      </c>
      <c r="O7">
        <v>23.12</v>
      </c>
      <c r="P7">
        <v>53.55</v>
      </c>
      <c r="Q7">
        <v>29.93</v>
      </c>
      <c r="R7">
        <v>35.22</v>
      </c>
      <c r="S7" s="5">
        <f>SUM(D7:O7)</f>
      </c>
      <c r="T7" s="5">
        <f>SUM(P7:R7)</f>
      </c>
    </row>
    <row r="8">
      <c r="A8" t="str">
        <v>EB2B</v>
      </c>
      <c r="B8" t="str">
        <v>South-2</v>
      </c>
      <c r="C8" t="str">
        <v>Nykaa SS(fsn)</v>
      </c>
      <c r="D8">
        <v>16.44</v>
      </c>
      <c r="E8">
        <v>12.17</v>
      </c>
      <c r="F8">
        <v>10.52</v>
      </c>
      <c r="G8">
        <v>12.1</v>
      </c>
      <c r="H8">
        <v>6.64</v>
      </c>
      <c r="I8">
        <v>8.17</v>
      </c>
      <c r="J8">
        <v>5.04</v>
      </c>
      <c r="K8">
        <v>12.08</v>
      </c>
      <c r="L8">
        <v>7.55</v>
      </c>
      <c r="M8">
        <v>12.62</v>
      </c>
      <c r="N8">
        <v>10.16</v>
      </c>
      <c r="O8">
        <v>9.99</v>
      </c>
      <c r="P8">
        <v>16.3</v>
      </c>
      <c r="Q8">
        <v>10.83</v>
      </c>
      <c r="R8">
        <v>16.15</v>
      </c>
      <c r="S8" s="5">
        <f>SUM(D8:O8)</f>
      </c>
      <c r="T8" s="5">
        <f>SUM(P8:R8)</f>
      </c>
    </row>
    <row r="9">
      <c r="A9" t="str">
        <v>EB2B</v>
      </c>
      <c r="B9" t="str">
        <v>West</v>
      </c>
      <c r="C9" t="str">
        <v>Ascent Wellness</v>
      </c>
      <c r="E9">
        <v>-0.24</v>
      </c>
      <c r="G9">
        <v>-0.1</v>
      </c>
      <c r="S9" s="5">
        <f>SUM(D9:O9)</f>
      </c>
      <c r="T9" s="5">
        <f>SUM(P9:R9)</f>
      </c>
    </row>
    <row r="10">
      <c r="A10" t="str">
        <v>EB2B</v>
      </c>
      <c r="B10" t="str">
        <v>West</v>
      </c>
      <c r="C10" t="str">
        <v>Nykaa SS(fsn)</v>
      </c>
      <c r="D10">
        <v>23.69</v>
      </c>
      <c r="E10">
        <v>18.87</v>
      </c>
      <c r="F10">
        <v>18.84</v>
      </c>
      <c r="G10">
        <v>21.54</v>
      </c>
      <c r="H10">
        <v>14.56</v>
      </c>
      <c r="I10">
        <v>14.74</v>
      </c>
      <c r="J10">
        <v>19.72</v>
      </c>
      <c r="K10">
        <v>22.74</v>
      </c>
      <c r="L10">
        <v>21.44</v>
      </c>
      <c r="M10">
        <v>24.22</v>
      </c>
      <c r="N10">
        <v>21.23</v>
      </c>
      <c r="O10">
        <v>22.76</v>
      </c>
      <c r="P10">
        <v>31.4</v>
      </c>
      <c r="Q10">
        <v>27.02</v>
      </c>
      <c r="R10">
        <v>31.13</v>
      </c>
      <c r="S10" s="5">
        <f>SUM(D10:O10)</f>
      </c>
      <c r="T10" s="5">
        <f>SUM(P10:R10)</f>
      </c>
    </row>
    <row r="11">
      <c r="A11" t="str">
        <v>MT</v>
      </c>
      <c r="B11" t="str">
        <v>East</v>
      </c>
      <c r="C11" t="str">
        <v>Apna Mart</v>
      </c>
      <c r="N11">
        <v>6.03</v>
      </c>
      <c r="O11">
        <v>0.56</v>
      </c>
      <c r="P11">
        <v>4.8</v>
      </c>
      <c r="S11" s="5">
        <f>SUM(D11:O11)</f>
      </c>
      <c r="T11" s="5">
        <f>SUM(P11:R11)</f>
      </c>
    </row>
    <row r="12">
      <c r="A12" t="str">
        <v>MT</v>
      </c>
      <c r="B12" t="str">
        <v>East</v>
      </c>
      <c r="C12" t="str">
        <v>Apollo Healthco</v>
      </c>
      <c r="D12">
        <v>37.79</v>
      </c>
      <c r="E12">
        <v>28.21</v>
      </c>
      <c r="F12">
        <v>35.39</v>
      </c>
      <c r="G12">
        <v>40.17</v>
      </c>
      <c r="H12">
        <v>47.31</v>
      </c>
      <c r="I12">
        <v>82.43</v>
      </c>
      <c r="J12">
        <v>37.64</v>
      </c>
      <c r="K12">
        <v>51.39</v>
      </c>
      <c r="L12">
        <v>63.97</v>
      </c>
      <c r="M12">
        <v>41.05</v>
      </c>
      <c r="N12">
        <v>42.32</v>
      </c>
      <c r="O12">
        <v>53.31</v>
      </c>
      <c r="P12">
        <v>82.45</v>
      </c>
      <c r="Q12">
        <v>104.26</v>
      </c>
      <c r="R12">
        <v>88.16</v>
      </c>
      <c r="S12" s="5">
        <f>SUM(D12:O12)</f>
      </c>
      <c r="T12" s="5">
        <f>SUM(P12:R12)</f>
      </c>
    </row>
    <row r="13">
      <c r="A13" t="str">
        <v>MT</v>
      </c>
      <c r="B13" t="str">
        <v>East</v>
      </c>
      <c r="C13" t="str">
        <v>Arambagh</v>
      </c>
      <c r="D13">
        <v>0.7</v>
      </c>
      <c r="E13">
        <v>1.61</v>
      </c>
      <c r="F13">
        <v>0.77</v>
      </c>
      <c r="G13">
        <v>5.58</v>
      </c>
      <c r="H13">
        <v>5.47</v>
      </c>
      <c r="I13">
        <v>4.57</v>
      </c>
      <c r="J13">
        <v>0.65</v>
      </c>
      <c r="K13">
        <v>0.35</v>
      </c>
      <c r="L13">
        <v>1.71</v>
      </c>
      <c r="M13">
        <v>1.67</v>
      </c>
      <c r="N13">
        <v>1.28</v>
      </c>
      <c r="O13">
        <v>10.58</v>
      </c>
      <c r="P13">
        <v>4.94</v>
      </c>
      <c r="Q13">
        <v>4.4</v>
      </c>
      <c r="R13">
        <v>3.35</v>
      </c>
      <c r="S13" s="5">
        <f>SUM(D13:O13)</f>
      </c>
      <c r="T13" s="5">
        <f>SUM(P13:R13)</f>
      </c>
    </row>
    <row r="14">
      <c r="A14" t="str">
        <v>MT</v>
      </c>
      <c r="B14" t="str">
        <v>East</v>
      </c>
      <c r="C14" t="str">
        <v>Deal Share</v>
      </c>
      <c r="L14">
        <v>7.13</v>
      </c>
      <c r="N14">
        <v>0.32</v>
      </c>
      <c r="S14" s="5">
        <f>SUM(D14:O14)</f>
      </c>
      <c r="T14" s="5">
        <f>SUM(P14:R14)</f>
      </c>
    </row>
    <row r="15">
      <c r="A15" t="str">
        <v>MT</v>
      </c>
      <c r="B15" t="str">
        <v>East</v>
      </c>
      <c r="C15" t="str">
        <v>D-Mart</v>
      </c>
      <c r="P15">
        <v>4.35</v>
      </c>
      <c r="S15" s="5">
        <f>SUM(D15:O15)</f>
      </c>
      <c r="T15" s="5">
        <f>SUM(P15:R15)</f>
      </c>
    </row>
    <row r="16">
      <c r="A16" t="str">
        <v>MT</v>
      </c>
      <c r="B16" t="str">
        <v>East</v>
      </c>
      <c r="C16" t="str">
        <v>Frankross</v>
      </c>
      <c r="D16">
        <v>0.74</v>
      </c>
      <c r="E16">
        <v>1.3</v>
      </c>
      <c r="F16">
        <v>0.35</v>
      </c>
      <c r="G16">
        <v>0.88</v>
      </c>
      <c r="H16">
        <v>4.78</v>
      </c>
      <c r="I16">
        <v>6.66</v>
      </c>
      <c r="J16">
        <v>6.43</v>
      </c>
      <c r="K16">
        <v>0.11</v>
      </c>
      <c r="L16">
        <v>3.56</v>
      </c>
      <c r="M16">
        <v>2.43</v>
      </c>
      <c r="N16">
        <v>2.9</v>
      </c>
      <c r="O16">
        <v>8.97</v>
      </c>
      <c r="P16">
        <v>17.29</v>
      </c>
      <c r="Q16">
        <v>7.8</v>
      </c>
      <c r="R16">
        <v>2.96</v>
      </c>
      <c r="S16" s="5">
        <f>SUM(D16:O16)</f>
      </c>
      <c r="T16" s="5">
        <f>SUM(P16:R16)</f>
      </c>
    </row>
    <row r="17">
      <c r="A17" t="str">
        <v>MT</v>
      </c>
      <c r="B17" t="str">
        <v>East</v>
      </c>
      <c r="C17" t="str">
        <v>G N R C Medishop Pvt Ltd</v>
      </c>
      <c r="J17">
        <v>0.09</v>
      </c>
      <c r="S17" s="5">
        <f>SUM(D17:O17)</f>
      </c>
      <c r="T17" s="5">
        <f>SUM(P17:R17)</f>
      </c>
    </row>
    <row r="18">
      <c r="A18" t="str">
        <v>MT</v>
      </c>
      <c r="B18" t="str">
        <v>East</v>
      </c>
      <c r="C18" t="str">
        <v>H&amp;G</v>
      </c>
      <c r="D18">
        <v>2.38</v>
      </c>
      <c r="E18">
        <v>2.8</v>
      </c>
      <c r="F18">
        <v>4.14</v>
      </c>
      <c r="G18">
        <v>9.33</v>
      </c>
      <c r="H18">
        <v>5.72</v>
      </c>
      <c r="I18">
        <v>2.49</v>
      </c>
      <c r="J18">
        <v>5.08</v>
      </c>
      <c r="K18">
        <v>0.68</v>
      </c>
      <c r="L18">
        <v>5.97</v>
      </c>
      <c r="M18">
        <v>2.19</v>
      </c>
      <c r="N18">
        <v>0.61</v>
      </c>
      <c r="O18">
        <v>2</v>
      </c>
      <c r="P18">
        <v>2.46</v>
      </c>
      <c r="Q18">
        <v>2.48</v>
      </c>
      <c r="R18">
        <v>2.35</v>
      </c>
      <c r="S18" s="5">
        <f>SUM(D18:O18)</f>
      </c>
      <c r="T18" s="5">
        <f>SUM(P18:R18)</f>
      </c>
    </row>
    <row r="19">
      <c r="A19" t="str">
        <v>MT</v>
      </c>
      <c r="B19" t="str">
        <v>East</v>
      </c>
      <c r="C19" t="str">
        <v>Metro-CNC-RRL</v>
      </c>
      <c r="D19">
        <v>2.58</v>
      </c>
      <c r="E19">
        <v>1.47</v>
      </c>
      <c r="F19">
        <v>1.37</v>
      </c>
      <c r="G19">
        <v>4.07</v>
      </c>
      <c r="H19">
        <v>2.07</v>
      </c>
      <c r="I19">
        <v>2.44</v>
      </c>
      <c r="J19">
        <v>-1.5</v>
      </c>
      <c r="K19">
        <v>4.55</v>
      </c>
      <c r="L19">
        <v>4.38</v>
      </c>
      <c r="M19">
        <v>3.16</v>
      </c>
      <c r="N19">
        <v>0.12</v>
      </c>
      <c r="O19">
        <v>2.84</v>
      </c>
      <c r="P19">
        <v>6.51</v>
      </c>
      <c r="Q19">
        <v>1.57</v>
      </c>
      <c r="S19" s="5">
        <f>SUM(D19:O19)</f>
      </c>
      <c r="T19" s="5">
        <f>SUM(P19:R19)</f>
      </c>
    </row>
    <row r="20">
      <c r="A20" t="str">
        <v>MT</v>
      </c>
      <c r="B20" t="str">
        <v>East</v>
      </c>
      <c r="C20" t="str">
        <v>More Retail</v>
      </c>
      <c r="D20">
        <v>10.08</v>
      </c>
      <c r="E20">
        <v>16.57</v>
      </c>
      <c r="F20">
        <v>8.28</v>
      </c>
      <c r="G20">
        <v>8.67</v>
      </c>
      <c r="H20">
        <v>12.08</v>
      </c>
      <c r="I20">
        <v>8.55</v>
      </c>
      <c r="J20">
        <v>7.11</v>
      </c>
      <c r="K20">
        <v>1.35</v>
      </c>
      <c r="L20">
        <v>11.6</v>
      </c>
      <c r="M20">
        <v>10.26</v>
      </c>
      <c r="N20">
        <v>6.5</v>
      </c>
      <c r="O20">
        <v>6.01</v>
      </c>
      <c r="P20">
        <v>12.29</v>
      </c>
      <c r="Q20">
        <v>14.41</v>
      </c>
      <c r="R20">
        <v>7.02</v>
      </c>
      <c r="S20" s="5">
        <f>SUM(D20:O20)</f>
      </c>
      <c r="T20" s="5">
        <f>SUM(P20:R20)</f>
      </c>
    </row>
    <row r="21">
      <c r="A21" t="str">
        <v>MT</v>
      </c>
      <c r="B21" t="str">
        <v>East</v>
      </c>
      <c r="C21" t="str">
        <v>Reliance Retail</v>
      </c>
      <c r="D21">
        <v>273.94</v>
      </c>
      <c r="E21">
        <v>198.36</v>
      </c>
      <c r="F21">
        <v>121.48</v>
      </c>
      <c r="G21">
        <v>187.37</v>
      </c>
      <c r="H21">
        <v>143.86</v>
      </c>
      <c r="I21">
        <v>78.2</v>
      </c>
      <c r="J21">
        <v>220.51</v>
      </c>
      <c r="K21">
        <v>202.27</v>
      </c>
      <c r="L21">
        <v>200.44</v>
      </c>
      <c r="M21">
        <v>336.2</v>
      </c>
      <c r="N21">
        <v>110.81</v>
      </c>
      <c r="O21">
        <v>166.43</v>
      </c>
      <c r="P21">
        <v>289.75</v>
      </c>
      <c r="Q21">
        <v>290.76</v>
      </c>
      <c r="R21">
        <v>230.5</v>
      </c>
      <c r="S21" s="5">
        <f>SUM(D21:O21)</f>
      </c>
      <c r="T21" s="5">
        <f>SUM(P21:R21)</f>
      </c>
    </row>
    <row r="22">
      <c r="A22" t="str">
        <v>MT</v>
      </c>
      <c r="B22" t="str">
        <v>East</v>
      </c>
      <c r="C22" t="str">
        <v>Sasta Sunder</v>
      </c>
      <c r="D22">
        <v>0.52</v>
      </c>
      <c r="F22">
        <v>0.78</v>
      </c>
      <c r="G22">
        <v>0.43</v>
      </c>
      <c r="H22">
        <v>0.41</v>
      </c>
      <c r="I22">
        <v>1.02</v>
      </c>
      <c r="J22">
        <v>1.11</v>
      </c>
      <c r="K22">
        <v>0.34</v>
      </c>
      <c r="L22">
        <v>0.28</v>
      </c>
      <c r="M22">
        <v>0.26</v>
      </c>
      <c r="N22">
        <v>0.81</v>
      </c>
      <c r="O22">
        <v>0.1</v>
      </c>
      <c r="P22">
        <v>2.05</v>
      </c>
      <c r="Q22">
        <v>1.23</v>
      </c>
      <c r="R22">
        <v>0.91</v>
      </c>
      <c r="S22" s="5">
        <f>SUM(D22:O22)</f>
      </c>
      <c r="T22" s="5">
        <f>SUM(P22:R22)</f>
      </c>
    </row>
    <row r="23">
      <c r="A23" t="str">
        <v>MT</v>
      </c>
      <c r="B23" t="str">
        <v>East</v>
      </c>
      <c r="C23" t="str">
        <v>Sohum Shoppe</v>
      </c>
      <c r="J23">
        <v>0.22</v>
      </c>
      <c r="P23">
        <v>-2.51</v>
      </c>
      <c r="S23" s="5">
        <f>SUM(D23:O23)</f>
      </c>
      <c r="T23" s="5">
        <f>SUM(P23:R23)</f>
      </c>
    </row>
    <row r="24">
      <c r="A24" t="str">
        <v>MT</v>
      </c>
      <c r="B24" t="str">
        <v>East</v>
      </c>
      <c r="C24" t="str">
        <v>Spencer</v>
      </c>
      <c r="D24">
        <v>16.74</v>
      </c>
      <c r="E24">
        <v>9.26</v>
      </c>
      <c r="F24">
        <v>8.37</v>
      </c>
      <c r="G24">
        <v>7.4</v>
      </c>
      <c r="H24">
        <v>9.22</v>
      </c>
      <c r="I24">
        <v>16.17</v>
      </c>
      <c r="J24">
        <v>4.67</v>
      </c>
      <c r="K24">
        <v>0.73</v>
      </c>
      <c r="L24">
        <v>12.67</v>
      </c>
      <c r="M24">
        <v>5.06</v>
      </c>
      <c r="N24">
        <v>4.17</v>
      </c>
      <c r="O24">
        <v>5.08</v>
      </c>
      <c r="P24">
        <v>8.98</v>
      </c>
      <c r="Q24">
        <v>5.29</v>
      </c>
      <c r="R24">
        <v>8.28</v>
      </c>
      <c r="S24" s="5">
        <f>SUM(D24:O24)</f>
      </c>
      <c r="T24" s="5">
        <f>SUM(P24:R24)</f>
      </c>
    </row>
    <row r="25">
      <c r="A25" t="str">
        <v>MT</v>
      </c>
      <c r="B25" t="str">
        <v>East</v>
      </c>
      <c r="C25" t="str">
        <v>Sumo Save</v>
      </c>
      <c r="O25">
        <v>3</v>
      </c>
      <c r="P25">
        <v>4.04</v>
      </c>
      <c r="Q25">
        <v>1.17</v>
      </c>
      <c r="R25">
        <v>1.06</v>
      </c>
      <c r="S25" s="5">
        <f>SUM(D25:O25)</f>
      </c>
      <c r="T25" s="5">
        <f>SUM(P25:R25)</f>
      </c>
    </row>
    <row r="26">
      <c r="A26" t="str">
        <v>MT</v>
      </c>
      <c r="B26" t="str">
        <v>East</v>
      </c>
      <c r="C26" t="str">
        <v>V-Mart</v>
      </c>
      <c r="D26">
        <v>0.58</v>
      </c>
      <c r="E26">
        <v>3.65</v>
      </c>
      <c r="F26">
        <v>-2.45</v>
      </c>
      <c r="G26">
        <v>2.85</v>
      </c>
      <c r="H26">
        <v>4.41</v>
      </c>
      <c r="I26">
        <v>1.37</v>
      </c>
      <c r="J26">
        <v>3.76</v>
      </c>
      <c r="K26">
        <v>3.88</v>
      </c>
      <c r="L26">
        <v>0.03</v>
      </c>
      <c r="M26">
        <v>2.58</v>
      </c>
      <c r="O26">
        <v>0.67</v>
      </c>
      <c r="Q26">
        <v>8.39</v>
      </c>
      <c r="R26">
        <v>-3.56</v>
      </c>
      <c r="S26" s="5">
        <f>SUM(D26:O26)</f>
      </c>
      <c r="T26" s="5">
        <f>SUM(P26:R26)</f>
      </c>
    </row>
    <row r="27">
      <c r="A27" t="str">
        <v>MT</v>
      </c>
      <c r="B27" t="str">
        <v>East</v>
      </c>
      <c r="C27" t="str">
        <v>VMM</v>
      </c>
      <c r="D27">
        <v>5.12</v>
      </c>
      <c r="E27">
        <v>7.65</v>
      </c>
      <c r="F27">
        <v>4.19</v>
      </c>
      <c r="G27">
        <v>3.32</v>
      </c>
      <c r="H27">
        <v>7.93</v>
      </c>
      <c r="J27">
        <v>0</v>
      </c>
      <c r="K27">
        <v>16.64</v>
      </c>
      <c r="L27">
        <v>4.44</v>
      </c>
      <c r="M27">
        <v>8.35</v>
      </c>
      <c r="N27">
        <v>12.06</v>
      </c>
      <c r="O27">
        <v>17.83</v>
      </c>
      <c r="P27">
        <v>49.03</v>
      </c>
      <c r="Q27">
        <v>23.81</v>
      </c>
      <c r="R27">
        <v>14.91</v>
      </c>
      <c r="S27" s="5">
        <f>SUM(D27:O27)</f>
      </c>
      <c r="T27" s="5">
        <f>SUM(P27:R27)</f>
      </c>
    </row>
    <row r="28">
      <c r="A28" t="str">
        <v>MT</v>
      </c>
      <c r="B28" t="str">
        <v>East</v>
      </c>
      <c r="C28" t="str">
        <v>WH-Smith</v>
      </c>
      <c r="I28">
        <v>0.7</v>
      </c>
      <c r="K28">
        <v>0.61</v>
      </c>
      <c r="M28">
        <v>0.58</v>
      </c>
      <c r="P28">
        <v>0.39</v>
      </c>
      <c r="S28" s="5">
        <f>SUM(D28:O28)</f>
      </c>
      <c r="T28" s="5">
        <f>SUM(P28:R28)</f>
      </c>
    </row>
    <row r="29">
      <c r="A29" t="str">
        <v>MT</v>
      </c>
      <c r="B29" t="str">
        <v>North</v>
      </c>
      <c r="C29" t="str">
        <v>Apna Klub</v>
      </c>
      <c r="E29">
        <v>-0.91</v>
      </c>
      <c r="S29" s="5">
        <f>SUM(D29:O29)</f>
      </c>
      <c r="T29" s="5">
        <f>SUM(P29:R29)</f>
      </c>
    </row>
    <row r="30">
      <c r="A30" t="str">
        <v>MT</v>
      </c>
      <c r="B30" t="str">
        <v>North</v>
      </c>
      <c r="C30" t="str">
        <v>Apollo Healthco</v>
      </c>
      <c r="D30">
        <v>55.16</v>
      </c>
      <c r="E30">
        <v>37.94</v>
      </c>
      <c r="F30">
        <v>53.29</v>
      </c>
      <c r="G30">
        <v>46.7</v>
      </c>
      <c r="H30">
        <v>72.74</v>
      </c>
      <c r="I30">
        <v>117.17</v>
      </c>
      <c r="J30">
        <v>42.55</v>
      </c>
      <c r="K30">
        <v>95.79</v>
      </c>
      <c r="L30">
        <v>106.8</v>
      </c>
      <c r="M30">
        <v>67.63</v>
      </c>
      <c r="N30">
        <v>82.02</v>
      </c>
      <c r="O30">
        <v>97.73</v>
      </c>
      <c r="P30">
        <v>119.35</v>
      </c>
      <c r="Q30">
        <v>146.3</v>
      </c>
      <c r="R30">
        <v>108.8</v>
      </c>
      <c r="S30" s="5">
        <f>SUM(D30:O30)</f>
      </c>
      <c r="T30" s="5">
        <f>SUM(P30:R30)</f>
      </c>
    </row>
    <row r="31">
      <c r="A31" t="str">
        <v>MT</v>
      </c>
      <c r="B31" t="str">
        <v>North</v>
      </c>
      <c r="C31" t="str">
        <v>Deal Share</v>
      </c>
      <c r="L31">
        <v>2.3</v>
      </c>
      <c r="O31">
        <v>0.25</v>
      </c>
      <c r="P31">
        <v>0.16</v>
      </c>
      <c r="Q31">
        <v>6.43</v>
      </c>
      <c r="R31">
        <v>0.72</v>
      </c>
      <c r="S31" s="5">
        <f>SUM(D31:O31)</f>
      </c>
      <c r="T31" s="5">
        <f>SUM(P31:R31)</f>
      </c>
    </row>
    <row r="32">
      <c r="A32" t="str">
        <v>MT</v>
      </c>
      <c r="B32" t="str">
        <v>North</v>
      </c>
      <c r="C32" t="str">
        <v>D-Mart</v>
      </c>
      <c r="D32">
        <v>213.63</v>
      </c>
      <c r="E32">
        <v>207.48</v>
      </c>
      <c r="F32">
        <v>128.19</v>
      </c>
      <c r="G32">
        <v>171</v>
      </c>
      <c r="H32">
        <v>175.42</v>
      </c>
      <c r="I32">
        <v>156.26</v>
      </c>
      <c r="J32">
        <v>256.72</v>
      </c>
      <c r="K32">
        <v>174.18</v>
      </c>
      <c r="L32">
        <v>213.99</v>
      </c>
      <c r="M32">
        <v>268.86</v>
      </c>
      <c r="N32">
        <v>276.4</v>
      </c>
      <c r="O32">
        <v>316.06</v>
      </c>
      <c r="P32">
        <v>479.98</v>
      </c>
      <c r="Q32">
        <v>311.91</v>
      </c>
      <c r="R32">
        <v>312.97</v>
      </c>
      <c r="S32" s="5">
        <f>SUM(D32:O32)</f>
      </c>
      <c r="T32" s="5">
        <f>SUM(P32:R32)</f>
      </c>
    </row>
    <row r="33">
      <c r="A33" t="str">
        <v>MT</v>
      </c>
      <c r="B33" t="str">
        <v>North</v>
      </c>
      <c r="C33" t="str">
        <v>Guardian</v>
      </c>
      <c r="D33">
        <v>0.98</v>
      </c>
      <c r="E33">
        <v>1.6</v>
      </c>
      <c r="G33">
        <v>0.97</v>
      </c>
      <c r="H33">
        <v>1.54</v>
      </c>
      <c r="J33">
        <v>0.49</v>
      </c>
      <c r="K33">
        <v>2</v>
      </c>
      <c r="L33">
        <v>2.73</v>
      </c>
      <c r="M33">
        <v>4.07</v>
      </c>
      <c r="N33">
        <v>1.89</v>
      </c>
      <c r="O33">
        <v>1.23</v>
      </c>
      <c r="P33">
        <v>2.92</v>
      </c>
      <c r="Q33">
        <v>2.68</v>
      </c>
      <c r="R33">
        <v>0.91</v>
      </c>
      <c r="S33" s="5">
        <f>SUM(D33:O33)</f>
      </c>
      <c r="T33" s="5">
        <f>SUM(P33:R33)</f>
      </c>
    </row>
    <row r="34">
      <c r="A34" t="str">
        <v>MT</v>
      </c>
      <c r="B34" t="str">
        <v>North</v>
      </c>
      <c r="C34" t="str">
        <v>Lulu</v>
      </c>
      <c r="D34">
        <v>7.12</v>
      </c>
      <c r="E34">
        <v>8.46</v>
      </c>
      <c r="F34">
        <v>13.05</v>
      </c>
      <c r="G34">
        <v>7.49</v>
      </c>
      <c r="H34">
        <v>14.85</v>
      </c>
      <c r="I34">
        <v>10.82</v>
      </c>
      <c r="J34">
        <v>10.67</v>
      </c>
      <c r="K34">
        <v>27.35</v>
      </c>
      <c r="L34">
        <v>18.72</v>
      </c>
      <c r="M34">
        <v>36.53</v>
      </c>
      <c r="N34">
        <v>7.41</v>
      </c>
      <c r="O34">
        <v>18.5</v>
      </c>
      <c r="P34">
        <v>23.47</v>
      </c>
      <c r="Q34">
        <v>22.95</v>
      </c>
      <c r="R34">
        <v>26.67</v>
      </c>
      <c r="S34" s="5">
        <f>SUM(D34:O34)</f>
      </c>
      <c r="T34" s="5">
        <f>SUM(P34:R34)</f>
      </c>
    </row>
    <row r="35">
      <c r="A35" t="str">
        <v>MT</v>
      </c>
      <c r="B35" t="str">
        <v>North</v>
      </c>
      <c r="C35" t="str">
        <v>Medanta</v>
      </c>
      <c r="Q35">
        <v>0.27</v>
      </c>
      <c r="R35">
        <v>0.54</v>
      </c>
      <c r="S35" s="5">
        <f>SUM(D35:O35)</f>
      </c>
      <c r="T35" s="5">
        <f>SUM(P35:R35)</f>
      </c>
    </row>
    <row r="36">
      <c r="A36" t="str">
        <v>MT</v>
      </c>
      <c r="B36" t="str">
        <v>North</v>
      </c>
      <c r="C36" t="str">
        <v>Metro-CNC-RRL</v>
      </c>
      <c r="D36">
        <v>5.99</v>
      </c>
      <c r="E36">
        <v>6.12</v>
      </c>
      <c r="F36">
        <v>-0.71</v>
      </c>
      <c r="G36">
        <v>15.27</v>
      </c>
      <c r="H36">
        <v>-1.65</v>
      </c>
      <c r="I36">
        <v>9.76</v>
      </c>
      <c r="J36">
        <v>11.4</v>
      </c>
      <c r="K36">
        <v>22.93</v>
      </c>
      <c r="L36">
        <v>16.07</v>
      </c>
      <c r="M36">
        <v>7.15</v>
      </c>
      <c r="N36">
        <v>1.53</v>
      </c>
      <c r="O36">
        <v>6.21</v>
      </c>
      <c r="P36">
        <v>11.15</v>
      </c>
      <c r="Q36">
        <v>6.09</v>
      </c>
      <c r="S36" s="5">
        <f>SUM(D36:O36)</f>
      </c>
      <c r="T36" s="5">
        <f>SUM(P36:R36)</f>
      </c>
    </row>
    <row r="37">
      <c r="A37" t="str">
        <v>MT</v>
      </c>
      <c r="B37" t="str">
        <v>North</v>
      </c>
      <c r="C37" t="str">
        <v>More Retail</v>
      </c>
      <c r="D37">
        <v>0.14</v>
      </c>
      <c r="E37">
        <v>12.45</v>
      </c>
      <c r="G37">
        <v>2.62</v>
      </c>
      <c r="H37">
        <v>1.84</v>
      </c>
      <c r="I37">
        <v>5.25</v>
      </c>
      <c r="L37">
        <v>4.25</v>
      </c>
      <c r="M37">
        <v>16.04</v>
      </c>
      <c r="N37">
        <v>2.31</v>
      </c>
      <c r="O37">
        <v>0.58</v>
      </c>
      <c r="P37">
        <v>2.2</v>
      </c>
      <c r="Q37">
        <v>8.77</v>
      </c>
      <c r="R37">
        <v>15.49</v>
      </c>
      <c r="S37" s="5">
        <f>SUM(D37:O37)</f>
      </c>
      <c r="T37" s="5">
        <f>SUM(P37:R37)</f>
      </c>
    </row>
    <row r="38">
      <c r="A38" t="str">
        <v>MT</v>
      </c>
      <c r="B38" t="str">
        <v>North</v>
      </c>
      <c r="C38" t="str">
        <v>Relay</v>
      </c>
      <c r="H38">
        <v>-0.08</v>
      </c>
      <c r="S38" s="5">
        <f>SUM(D38:O38)</f>
      </c>
      <c r="T38" s="5">
        <f>SUM(P38:R38)</f>
      </c>
    </row>
    <row r="39">
      <c r="A39" t="str">
        <v>MT</v>
      </c>
      <c r="B39" t="str">
        <v>North</v>
      </c>
      <c r="C39" t="str">
        <v>Reliance Retail</v>
      </c>
      <c r="D39">
        <v>318.53</v>
      </c>
      <c r="E39">
        <v>192.11</v>
      </c>
      <c r="F39">
        <v>146.66</v>
      </c>
      <c r="G39">
        <v>200.39</v>
      </c>
      <c r="H39">
        <v>188.82</v>
      </c>
      <c r="I39">
        <v>116.16</v>
      </c>
      <c r="J39">
        <v>267.8</v>
      </c>
      <c r="K39">
        <v>263.65</v>
      </c>
      <c r="L39">
        <v>248.09</v>
      </c>
      <c r="M39">
        <v>394.97</v>
      </c>
      <c r="N39">
        <v>115.94</v>
      </c>
      <c r="O39">
        <v>229.66</v>
      </c>
      <c r="P39">
        <v>331.24</v>
      </c>
      <c r="Q39">
        <v>328.4</v>
      </c>
      <c r="R39">
        <v>373.6</v>
      </c>
      <c r="S39" s="5">
        <f>SUM(D39:O39)</f>
      </c>
      <c r="T39" s="5">
        <f>SUM(P39:R39)</f>
      </c>
    </row>
    <row r="40">
      <c r="A40" t="str">
        <v>MT</v>
      </c>
      <c r="B40" t="str">
        <v>North</v>
      </c>
      <c r="C40" t="str">
        <v>RMT-Sancus</v>
      </c>
      <c r="D40">
        <v>7.6</v>
      </c>
      <c r="E40">
        <v>54.44</v>
      </c>
      <c r="F40">
        <v>37.55</v>
      </c>
      <c r="G40">
        <v>78.97</v>
      </c>
      <c r="H40">
        <v>15.13</v>
      </c>
      <c r="I40">
        <v>19.1</v>
      </c>
      <c r="J40">
        <v>14.58</v>
      </c>
      <c r="K40">
        <v>45.35</v>
      </c>
      <c r="L40">
        <v>46.99</v>
      </c>
      <c r="M40">
        <v>51.38</v>
      </c>
      <c r="N40">
        <v>50.01</v>
      </c>
      <c r="O40">
        <v>5.98</v>
      </c>
      <c r="P40">
        <v>73.11</v>
      </c>
      <c r="Q40">
        <v>64.35</v>
      </c>
      <c r="R40">
        <v>28.1</v>
      </c>
      <c r="S40" s="5">
        <f>SUM(D40:O40)</f>
      </c>
      <c r="T40" s="5">
        <f>SUM(P40:R40)</f>
      </c>
    </row>
    <row r="41">
      <c r="A41" t="str">
        <v>MT</v>
      </c>
      <c r="B41" t="str">
        <v>North</v>
      </c>
      <c r="C41" t="str">
        <v>Spencer</v>
      </c>
      <c r="E41">
        <v>1.79</v>
      </c>
      <c r="F41">
        <v>0.06</v>
      </c>
      <c r="G41">
        <v>4.56</v>
      </c>
      <c r="H41">
        <v>3.95</v>
      </c>
      <c r="I41">
        <v>3.08</v>
      </c>
      <c r="J41">
        <v>3.14</v>
      </c>
      <c r="K41">
        <v>5.75</v>
      </c>
      <c r="L41">
        <v>2.86</v>
      </c>
      <c r="M41">
        <v>1.95</v>
      </c>
      <c r="N41">
        <v>0.38</v>
      </c>
      <c r="O41">
        <v>2.01</v>
      </c>
      <c r="P41">
        <v>4.07</v>
      </c>
      <c r="Q41">
        <v>3.61</v>
      </c>
      <c r="R41">
        <v>1.37</v>
      </c>
      <c r="S41" s="5">
        <f>SUM(D41:O41)</f>
      </c>
      <c r="T41" s="5">
        <f>SUM(P41:R41)</f>
      </c>
    </row>
    <row r="42">
      <c r="A42" t="str">
        <v>MT</v>
      </c>
      <c r="B42" t="str">
        <v>North</v>
      </c>
      <c r="C42" t="str">
        <v>V-Mart</v>
      </c>
      <c r="J42">
        <v>17.25</v>
      </c>
      <c r="K42">
        <v>37</v>
      </c>
      <c r="L42">
        <v>13.04</v>
      </c>
      <c r="M42">
        <v>15.81</v>
      </c>
      <c r="P42">
        <v>3.62</v>
      </c>
      <c r="Q42">
        <v>10.71</v>
      </c>
      <c r="S42" s="5">
        <f>SUM(D42:O42)</f>
      </c>
      <c r="T42" s="5">
        <f>SUM(P42:R42)</f>
      </c>
    </row>
    <row r="43">
      <c r="A43" t="str">
        <v>MT</v>
      </c>
      <c r="B43" t="str">
        <v>North</v>
      </c>
      <c r="C43" t="str">
        <v>VMM</v>
      </c>
      <c r="D43">
        <v>2.95</v>
      </c>
      <c r="E43">
        <v>7.73</v>
      </c>
      <c r="F43">
        <v>5.42</v>
      </c>
      <c r="G43">
        <v>-2.15</v>
      </c>
      <c r="H43">
        <v>0.66</v>
      </c>
      <c r="I43">
        <v>5.67</v>
      </c>
      <c r="J43">
        <v>0</v>
      </c>
      <c r="K43">
        <v>27.07</v>
      </c>
      <c r="L43">
        <v>11.6</v>
      </c>
      <c r="M43">
        <v>10.86</v>
      </c>
      <c r="N43">
        <v>6.04</v>
      </c>
      <c r="O43">
        <v>11.71</v>
      </c>
      <c r="P43">
        <v>18.25</v>
      </c>
      <c r="Q43">
        <v>28.55</v>
      </c>
      <c r="R43">
        <v>17.36</v>
      </c>
      <c r="S43" s="5">
        <f>SUM(D43:O43)</f>
      </c>
      <c r="T43" s="5">
        <f>SUM(P43:R43)</f>
      </c>
    </row>
    <row r="44">
      <c r="A44" t="str">
        <v>MT</v>
      </c>
      <c r="B44" t="str">
        <v>North</v>
      </c>
      <c r="C44" t="str">
        <v>Walmart CNC</v>
      </c>
      <c r="D44">
        <v>7.73</v>
      </c>
      <c r="E44">
        <v>9.51</v>
      </c>
      <c r="F44">
        <v>15.72</v>
      </c>
      <c r="G44">
        <v>16.14</v>
      </c>
      <c r="H44">
        <v>9.71</v>
      </c>
      <c r="I44">
        <v>11.12</v>
      </c>
      <c r="J44">
        <v>29.09</v>
      </c>
      <c r="K44">
        <v>28.61</v>
      </c>
      <c r="L44">
        <v>2.43</v>
      </c>
      <c r="M44">
        <v>17.98</v>
      </c>
      <c r="N44">
        <v>6.06</v>
      </c>
      <c r="O44">
        <v>25.73</v>
      </c>
      <c r="P44">
        <v>12.61</v>
      </c>
      <c r="Q44">
        <v>25.08</v>
      </c>
      <c r="R44">
        <v>-0.41</v>
      </c>
      <c r="S44" s="5">
        <f>SUM(D44:O44)</f>
      </c>
      <c r="T44" s="5">
        <f>SUM(P44:R44)</f>
      </c>
    </row>
    <row r="45">
      <c r="A45" t="str">
        <v>MT</v>
      </c>
      <c r="B45" t="str">
        <v>North</v>
      </c>
      <c r="C45" t="str">
        <v>WH-Smith</v>
      </c>
      <c r="E45">
        <v>1.09</v>
      </c>
      <c r="H45">
        <v>0.89</v>
      </c>
      <c r="I45">
        <v>-1.3</v>
      </c>
      <c r="K45">
        <v>0.98</v>
      </c>
      <c r="M45">
        <v>0.27</v>
      </c>
      <c r="N45">
        <v>0.67</v>
      </c>
      <c r="S45" s="5">
        <f>SUM(D45:O45)</f>
      </c>
      <c r="T45" s="5">
        <f>SUM(P45:R45)</f>
      </c>
    </row>
    <row r="46">
      <c r="A46" t="str">
        <v>MT</v>
      </c>
      <c r="B46" t="str">
        <v>South-1</v>
      </c>
      <c r="C46" t="str">
        <v>Apollo Healthco</v>
      </c>
      <c r="D46">
        <v>101.41</v>
      </c>
      <c r="E46">
        <v>93.43</v>
      </c>
      <c r="F46">
        <v>117.39</v>
      </c>
      <c r="G46">
        <v>122.02</v>
      </c>
      <c r="H46">
        <v>128.29</v>
      </c>
      <c r="I46">
        <v>206.41</v>
      </c>
      <c r="J46">
        <v>114.3</v>
      </c>
      <c r="K46">
        <v>202.08</v>
      </c>
      <c r="L46">
        <v>174.34</v>
      </c>
      <c r="M46">
        <v>163.83</v>
      </c>
      <c r="N46">
        <v>166</v>
      </c>
      <c r="O46">
        <v>168.49</v>
      </c>
      <c r="P46">
        <v>314.58</v>
      </c>
      <c r="Q46">
        <v>323.3</v>
      </c>
      <c r="R46">
        <v>322.79</v>
      </c>
      <c r="S46" s="5">
        <f>SUM(D46:O46)</f>
      </c>
      <c r="T46" s="5">
        <f>SUM(P46:R46)</f>
      </c>
    </row>
    <row r="47">
      <c r="A47" t="str">
        <v>MT</v>
      </c>
      <c r="B47" t="str">
        <v>South-1</v>
      </c>
      <c r="C47" t="str">
        <v>B&amp;N</v>
      </c>
      <c r="G47">
        <v>1.84</v>
      </c>
      <c r="H47">
        <v>2.38</v>
      </c>
      <c r="I47">
        <v>0.31</v>
      </c>
      <c r="J47">
        <v>0.54</v>
      </c>
      <c r="L47">
        <v>1.06</v>
      </c>
      <c r="M47">
        <v>0.56</v>
      </c>
      <c r="N47">
        <v>0.67</v>
      </c>
      <c r="P47">
        <v>1.14</v>
      </c>
      <c r="Q47">
        <v>0.32</v>
      </c>
      <c r="S47" s="5">
        <f>SUM(D47:O47)</f>
      </c>
      <c r="T47" s="5">
        <f>SUM(P47:R47)</f>
      </c>
    </row>
    <row r="48">
      <c r="A48" t="str">
        <v>MT</v>
      </c>
      <c r="B48" t="str">
        <v>South-1</v>
      </c>
      <c r="C48" t="str">
        <v>D-Mart</v>
      </c>
      <c r="D48">
        <v>174.02</v>
      </c>
      <c r="E48">
        <v>150.12</v>
      </c>
      <c r="F48">
        <v>159.6</v>
      </c>
      <c r="G48">
        <v>160.43</v>
      </c>
      <c r="H48">
        <v>150.58</v>
      </c>
      <c r="I48">
        <v>243.05</v>
      </c>
      <c r="J48">
        <v>226.73</v>
      </c>
      <c r="K48">
        <v>145.2</v>
      </c>
      <c r="L48">
        <v>149.96</v>
      </c>
      <c r="M48">
        <v>297.44</v>
      </c>
      <c r="N48">
        <v>208.22</v>
      </c>
      <c r="O48">
        <v>269.18</v>
      </c>
      <c r="P48">
        <v>387.34</v>
      </c>
      <c r="Q48">
        <v>411.46</v>
      </c>
      <c r="R48">
        <v>369.48</v>
      </c>
      <c r="S48" s="5">
        <f>SUM(D48:O48)</f>
      </c>
      <c r="T48" s="5">
        <f>SUM(P48:R48)</f>
      </c>
    </row>
    <row r="49">
      <c r="A49" t="str">
        <v>MT</v>
      </c>
      <c r="B49" t="str">
        <v>South-1</v>
      </c>
      <c r="C49" t="str">
        <v>Frankross</v>
      </c>
      <c r="D49">
        <v>0.2</v>
      </c>
      <c r="E49">
        <v>0.25</v>
      </c>
      <c r="F49">
        <v>0.2</v>
      </c>
      <c r="G49">
        <v>0.2</v>
      </c>
      <c r="H49">
        <v>0.12</v>
      </c>
      <c r="I49">
        <v>0.17</v>
      </c>
      <c r="J49">
        <v>0.17</v>
      </c>
      <c r="K49">
        <v>5.21</v>
      </c>
      <c r="L49">
        <v>0.14</v>
      </c>
      <c r="M49">
        <v>0.53</v>
      </c>
      <c r="N49">
        <v>-0.01</v>
      </c>
      <c r="O49">
        <v>0</v>
      </c>
      <c r="P49">
        <v>0.11</v>
      </c>
      <c r="Q49">
        <v>0.09</v>
      </c>
      <c r="R49">
        <v>5.98</v>
      </c>
      <c r="S49" s="5">
        <f>SUM(D49:O49)</f>
      </c>
      <c r="T49" s="5">
        <f>SUM(P49:R49)</f>
      </c>
    </row>
    <row r="50">
      <c r="A50" t="str">
        <v>MT</v>
      </c>
      <c r="B50" t="str">
        <v>South-1</v>
      </c>
      <c r="C50" t="str">
        <v>Grace Super MKT</v>
      </c>
      <c r="D50">
        <v>2.77</v>
      </c>
      <c r="E50">
        <v>3.43</v>
      </c>
      <c r="F50">
        <v>2.47</v>
      </c>
      <c r="G50">
        <v>-0.25</v>
      </c>
      <c r="S50" s="5">
        <f>SUM(D50:O50)</f>
      </c>
      <c r="T50" s="5">
        <f>SUM(P50:R50)</f>
      </c>
    </row>
    <row r="51">
      <c r="A51" t="str">
        <v>MT</v>
      </c>
      <c r="B51" t="str">
        <v>South-1</v>
      </c>
      <c r="C51" t="str">
        <v>H&amp;G</v>
      </c>
      <c r="D51">
        <v>54.17</v>
      </c>
      <c r="E51">
        <v>26.04</v>
      </c>
      <c r="F51">
        <v>66.04</v>
      </c>
      <c r="G51">
        <v>55.12</v>
      </c>
      <c r="H51">
        <v>74.37</v>
      </c>
      <c r="I51">
        <v>55.97</v>
      </c>
      <c r="J51">
        <v>45.61</v>
      </c>
      <c r="K51">
        <v>62.74</v>
      </c>
      <c r="L51">
        <v>18.21</v>
      </c>
      <c r="M51">
        <v>33.74</v>
      </c>
      <c r="N51">
        <v>44</v>
      </c>
      <c r="O51">
        <v>45.28</v>
      </c>
      <c r="P51">
        <v>62.67</v>
      </c>
      <c r="Q51">
        <v>44.64</v>
      </c>
      <c r="R51">
        <v>41.18</v>
      </c>
      <c r="S51" s="5">
        <f>SUM(D51:O51)</f>
      </c>
      <c r="T51" s="5">
        <f>SUM(P51:R51)</f>
      </c>
    </row>
    <row r="52">
      <c r="A52" t="str">
        <v>MT</v>
      </c>
      <c r="B52" t="str">
        <v>South-1</v>
      </c>
      <c r="C52" t="str">
        <v>Lulu</v>
      </c>
      <c r="D52">
        <v>13.14</v>
      </c>
      <c r="E52">
        <v>65.82</v>
      </c>
      <c r="F52">
        <v>18.68</v>
      </c>
      <c r="G52">
        <v>66.22</v>
      </c>
      <c r="H52">
        <v>48.36</v>
      </c>
      <c r="I52">
        <v>38.87</v>
      </c>
      <c r="J52">
        <v>20.31</v>
      </c>
      <c r="K52">
        <v>91.61</v>
      </c>
      <c r="L52">
        <v>63.2</v>
      </c>
      <c r="M52">
        <v>61.2</v>
      </c>
      <c r="N52">
        <v>85.99</v>
      </c>
      <c r="O52">
        <v>15.33</v>
      </c>
      <c r="P52">
        <v>111.31</v>
      </c>
      <c r="Q52">
        <v>126.56</v>
      </c>
      <c r="R52">
        <v>145.86</v>
      </c>
      <c r="S52" s="5">
        <f>SUM(D52:O52)</f>
      </c>
      <c r="T52" s="5">
        <f>SUM(P52:R52)</f>
      </c>
    </row>
    <row r="53">
      <c r="A53" t="str">
        <v>MT</v>
      </c>
      <c r="B53" t="str">
        <v>South-1</v>
      </c>
      <c r="C53" t="str">
        <v>Max Hyper</v>
      </c>
      <c r="J53">
        <v>0.21</v>
      </c>
      <c r="L53">
        <v>1.09</v>
      </c>
      <c r="P53">
        <v>0.46</v>
      </c>
      <c r="R53">
        <v>2.25</v>
      </c>
      <c r="S53" s="5">
        <f>SUM(D53:O53)</f>
      </c>
      <c r="T53" s="5">
        <f>SUM(P53:R53)</f>
      </c>
    </row>
    <row r="54">
      <c r="A54" t="str">
        <v>MT</v>
      </c>
      <c r="B54" t="str">
        <v>South-1</v>
      </c>
      <c r="C54" t="str">
        <v>Metro-CNC-RRL</v>
      </c>
      <c r="D54">
        <v>10.58</v>
      </c>
      <c r="E54">
        <v>8.78</v>
      </c>
      <c r="F54">
        <v>7.86</v>
      </c>
      <c r="G54">
        <v>25.1</v>
      </c>
      <c r="H54">
        <v>10.46</v>
      </c>
      <c r="I54">
        <v>15.98</v>
      </c>
      <c r="J54">
        <v>9.65</v>
      </c>
      <c r="K54">
        <v>22.5</v>
      </c>
      <c r="L54">
        <v>17.09</v>
      </c>
      <c r="M54">
        <v>18.01</v>
      </c>
      <c r="N54">
        <v>5.05</v>
      </c>
      <c r="O54">
        <v>13.08</v>
      </c>
      <c r="P54">
        <v>16.13</v>
      </c>
      <c r="Q54">
        <v>7.88</v>
      </c>
      <c r="S54" s="5">
        <f>SUM(D54:O54)</f>
      </c>
      <c r="T54" s="5">
        <f>SUM(P54:R54)</f>
      </c>
    </row>
    <row r="55">
      <c r="A55" t="str">
        <v>MT</v>
      </c>
      <c r="B55" t="str">
        <v>South-1</v>
      </c>
      <c r="C55" t="str">
        <v>More Retail</v>
      </c>
      <c r="D55">
        <v>8.9</v>
      </c>
      <c r="E55">
        <v>16.96</v>
      </c>
      <c r="F55">
        <v>5.3</v>
      </c>
      <c r="G55">
        <v>13.63</v>
      </c>
      <c r="H55">
        <v>9.12</v>
      </c>
      <c r="I55">
        <v>10.2</v>
      </c>
      <c r="J55">
        <v>18.35</v>
      </c>
      <c r="K55">
        <v>17.7</v>
      </c>
      <c r="L55">
        <v>10.56</v>
      </c>
      <c r="M55">
        <v>13.61</v>
      </c>
      <c r="N55">
        <v>7.01</v>
      </c>
      <c r="O55">
        <v>12.94</v>
      </c>
      <c r="P55">
        <v>11</v>
      </c>
      <c r="Q55">
        <v>16.4</v>
      </c>
      <c r="R55">
        <v>22.16</v>
      </c>
      <c r="S55" s="5">
        <f>SUM(D55:O55)</f>
      </c>
      <c r="T55" s="5">
        <f>SUM(P55:R55)</f>
      </c>
    </row>
    <row r="56">
      <c r="A56" t="str">
        <v>MT</v>
      </c>
      <c r="B56" t="str">
        <v>South-1</v>
      </c>
      <c r="C56" t="str">
        <v>Pothys</v>
      </c>
      <c r="D56">
        <v>3.9</v>
      </c>
      <c r="E56">
        <v>8.76</v>
      </c>
      <c r="F56">
        <v>7.41</v>
      </c>
      <c r="H56">
        <v>0</v>
      </c>
      <c r="N56">
        <v>-0.1</v>
      </c>
      <c r="S56" s="5">
        <f>SUM(D56:O56)</f>
      </c>
      <c r="T56" s="5">
        <f>SUM(P56:R56)</f>
      </c>
    </row>
    <row r="57">
      <c r="A57" t="str">
        <v>MT</v>
      </c>
      <c r="B57" t="str">
        <v>South-1</v>
      </c>
      <c r="C57" t="str">
        <v>Relay</v>
      </c>
      <c r="E57">
        <v>0.6</v>
      </c>
      <c r="F57">
        <v>0.49</v>
      </c>
      <c r="G57">
        <v>0.48</v>
      </c>
      <c r="I57">
        <v>-0.08</v>
      </c>
      <c r="S57" s="5">
        <f>SUM(D57:O57)</f>
      </c>
      <c r="T57" s="5">
        <f>SUM(P57:R57)</f>
      </c>
    </row>
    <row r="58">
      <c r="A58" t="str">
        <v>MT</v>
      </c>
      <c r="B58" t="str">
        <v>South-1</v>
      </c>
      <c r="C58" t="str">
        <v>Reliance Retail</v>
      </c>
      <c r="D58">
        <v>175.89</v>
      </c>
      <c r="E58">
        <v>75.89</v>
      </c>
      <c r="F58">
        <v>85.19</v>
      </c>
      <c r="G58">
        <v>113.57</v>
      </c>
      <c r="H58">
        <v>86.81</v>
      </c>
      <c r="I58">
        <v>51.23</v>
      </c>
      <c r="J58">
        <v>117.59</v>
      </c>
      <c r="K58">
        <v>124.14</v>
      </c>
      <c r="L58">
        <v>104.62</v>
      </c>
      <c r="M58">
        <v>223.62</v>
      </c>
      <c r="N58">
        <v>32.6</v>
      </c>
      <c r="O58">
        <v>114.66</v>
      </c>
      <c r="P58">
        <v>145.26</v>
      </c>
      <c r="Q58">
        <v>123.64</v>
      </c>
      <c r="R58">
        <v>130.27</v>
      </c>
      <c r="S58" s="5">
        <f>SUM(D58:O58)</f>
      </c>
      <c r="T58" s="5">
        <f>SUM(P58:R58)</f>
      </c>
    </row>
    <row r="59">
      <c r="A59" t="str">
        <v>MT</v>
      </c>
      <c r="B59" t="str">
        <v>South-1</v>
      </c>
      <c r="C59" t="str">
        <v>Sarvana</v>
      </c>
      <c r="D59">
        <v>7.57</v>
      </c>
      <c r="E59">
        <v>6.36</v>
      </c>
      <c r="F59">
        <v>5.63</v>
      </c>
      <c r="K59">
        <v>-12.16</v>
      </c>
      <c r="S59" s="5">
        <f>SUM(D59:O59)</f>
      </c>
      <c r="T59" s="5">
        <f>SUM(P59:R59)</f>
      </c>
    </row>
    <row r="60">
      <c r="A60" t="str">
        <v>MT</v>
      </c>
      <c r="B60" t="str">
        <v>South-1</v>
      </c>
      <c r="C60" t="str">
        <v>Trent</v>
      </c>
      <c r="D60">
        <v>1.18</v>
      </c>
      <c r="E60">
        <v>1.83</v>
      </c>
      <c r="F60">
        <v>3.27</v>
      </c>
      <c r="G60">
        <v>2.87</v>
      </c>
      <c r="H60">
        <v>0.54</v>
      </c>
      <c r="I60">
        <v>1.55</v>
      </c>
      <c r="J60">
        <v>1.81</v>
      </c>
      <c r="K60">
        <v>1.31</v>
      </c>
      <c r="L60">
        <v>1.79</v>
      </c>
      <c r="M60">
        <v>1.68</v>
      </c>
      <c r="N60">
        <v>1.66</v>
      </c>
      <c r="O60">
        <v>3.66</v>
      </c>
      <c r="P60">
        <v>2.09</v>
      </c>
      <c r="Q60">
        <v>7.28</v>
      </c>
      <c r="R60">
        <v>3.21</v>
      </c>
      <c r="S60" s="5">
        <f>SUM(D60:O60)</f>
      </c>
      <c r="T60" s="5">
        <f>SUM(P60:R60)</f>
      </c>
    </row>
    <row r="61">
      <c r="A61" t="str">
        <v>MT</v>
      </c>
      <c r="B61" t="str">
        <v>South-1</v>
      </c>
      <c r="C61" t="str">
        <v>Trilife</v>
      </c>
      <c r="D61">
        <v>0.04</v>
      </c>
      <c r="F61">
        <v>0.18</v>
      </c>
      <c r="G61">
        <v>0.34</v>
      </c>
      <c r="H61">
        <v>0.18</v>
      </c>
      <c r="J61">
        <v>0.1</v>
      </c>
      <c r="K61">
        <v>2.74</v>
      </c>
      <c r="L61">
        <v>0.14</v>
      </c>
      <c r="M61">
        <v>0.15</v>
      </c>
      <c r="P61">
        <v>0.18</v>
      </c>
      <c r="Q61">
        <v>0.64</v>
      </c>
      <c r="R61">
        <v>0.12</v>
      </c>
      <c r="S61" s="5">
        <f>SUM(D61:O61)</f>
      </c>
      <c r="T61" s="5">
        <f>SUM(P61:R61)</f>
      </c>
    </row>
    <row r="62">
      <c r="A62" t="str">
        <v>MT</v>
      </c>
      <c r="B62" t="str">
        <v>South-1</v>
      </c>
      <c r="C62" t="str">
        <v>V-Mart</v>
      </c>
      <c r="M62">
        <v>12.31</v>
      </c>
      <c r="S62" s="5">
        <f>SUM(D62:O62)</f>
      </c>
      <c r="T62" s="5">
        <f>SUM(P62:R62)</f>
      </c>
    </row>
    <row r="63">
      <c r="A63" t="str">
        <v>MT</v>
      </c>
      <c r="B63" t="str">
        <v>South-1</v>
      </c>
      <c r="C63" t="str">
        <v>VMM</v>
      </c>
      <c r="F63">
        <v>2.13</v>
      </c>
      <c r="L63">
        <v>2.02</v>
      </c>
      <c r="M63">
        <v>0.81</v>
      </c>
      <c r="N63">
        <v>1.39</v>
      </c>
      <c r="O63">
        <v>0.01</v>
      </c>
      <c r="P63">
        <v>13.24</v>
      </c>
      <c r="R63">
        <v>6.82</v>
      </c>
      <c r="S63" s="5">
        <f>SUM(D63:O63)</f>
      </c>
      <c r="T63" s="5">
        <f>SUM(P63:R63)</f>
      </c>
    </row>
    <row r="64">
      <c r="A64" t="str">
        <v>MT</v>
      </c>
      <c r="B64" t="str">
        <v>South-1</v>
      </c>
      <c r="C64" t="str">
        <v>WH-Smith</v>
      </c>
      <c r="L64">
        <v>0.26</v>
      </c>
      <c r="M64">
        <v>0.39</v>
      </c>
      <c r="N64">
        <v>0.37</v>
      </c>
      <c r="S64" s="5">
        <f>SUM(D64:O64)</f>
      </c>
      <c r="T64" s="5">
        <f>SUM(P64:R64)</f>
      </c>
    </row>
    <row r="65">
      <c r="A65" t="str">
        <v>MT</v>
      </c>
      <c r="B65" t="str">
        <v>South-2</v>
      </c>
      <c r="C65" t="str">
        <v>Apollo Healthco</v>
      </c>
      <c r="D65">
        <v>107.9</v>
      </c>
      <c r="E65">
        <v>81.45</v>
      </c>
      <c r="F65">
        <v>76.75</v>
      </c>
      <c r="G65">
        <v>110.31</v>
      </c>
      <c r="H65">
        <v>81.61</v>
      </c>
      <c r="I65">
        <v>152.8</v>
      </c>
      <c r="J65">
        <v>79.37</v>
      </c>
      <c r="K65">
        <v>206.05</v>
      </c>
      <c r="L65">
        <v>172.6</v>
      </c>
      <c r="M65">
        <v>162.51</v>
      </c>
      <c r="N65">
        <v>140.61</v>
      </c>
      <c r="O65">
        <v>97.69</v>
      </c>
      <c r="P65">
        <v>260.64</v>
      </c>
      <c r="Q65">
        <v>222.31</v>
      </c>
      <c r="R65">
        <v>197.25</v>
      </c>
      <c r="S65" s="5">
        <f>SUM(D65:O65)</f>
      </c>
      <c r="T65" s="5">
        <f>SUM(P65:R65)</f>
      </c>
    </row>
    <row r="66">
      <c r="A66" t="str">
        <v>MT</v>
      </c>
      <c r="B66" t="str">
        <v>South-2</v>
      </c>
      <c r="C66" t="str">
        <v>B&amp;N</v>
      </c>
      <c r="G66">
        <v>4.01</v>
      </c>
      <c r="H66">
        <v>0.12</v>
      </c>
      <c r="L66">
        <v>-2.06</v>
      </c>
      <c r="M66">
        <v>2.01</v>
      </c>
      <c r="N66">
        <v>0.57</v>
      </c>
      <c r="O66">
        <v>-0.05</v>
      </c>
      <c r="S66" s="5">
        <f>SUM(D66:O66)</f>
      </c>
      <c r="T66" s="5">
        <f>SUM(P66:R66)</f>
      </c>
    </row>
    <row r="67">
      <c r="A67" t="str">
        <v>MT</v>
      </c>
      <c r="B67" t="str">
        <v>South-2</v>
      </c>
      <c r="C67" t="str">
        <v>D-Mart</v>
      </c>
      <c r="D67">
        <v>201.59</v>
      </c>
      <c r="E67">
        <v>186.87</v>
      </c>
      <c r="F67">
        <v>170.27</v>
      </c>
      <c r="G67">
        <v>117.25</v>
      </c>
      <c r="H67">
        <v>130.43</v>
      </c>
      <c r="I67">
        <v>5.2</v>
      </c>
      <c r="J67">
        <v>131.23</v>
      </c>
      <c r="K67">
        <v>97.57</v>
      </c>
      <c r="L67">
        <v>144.87</v>
      </c>
      <c r="M67">
        <v>112.49</v>
      </c>
      <c r="N67">
        <v>242.89</v>
      </c>
      <c r="O67">
        <v>229.14</v>
      </c>
      <c r="P67">
        <v>266.32</v>
      </c>
      <c r="Q67">
        <v>168.38</v>
      </c>
      <c r="R67">
        <v>305.31</v>
      </c>
      <c r="S67" s="5">
        <f>SUM(D67:O67)</f>
      </c>
      <c r="T67" s="5">
        <f>SUM(P67:R67)</f>
      </c>
    </row>
    <row r="68">
      <c r="A68" t="str">
        <v>MT</v>
      </c>
      <c r="B68" t="str">
        <v>South-2</v>
      </c>
      <c r="C68" t="str">
        <v>H&amp;G</v>
      </c>
      <c r="D68">
        <v>21.67</v>
      </c>
      <c r="E68">
        <v>13.97</v>
      </c>
      <c r="F68">
        <v>21.9</v>
      </c>
      <c r="G68">
        <v>35.8</v>
      </c>
      <c r="H68">
        <v>17.5</v>
      </c>
      <c r="I68">
        <v>2.39</v>
      </c>
      <c r="J68">
        <v>1.5</v>
      </c>
      <c r="K68">
        <v>50.96</v>
      </c>
      <c r="L68">
        <v>29.42</v>
      </c>
      <c r="M68">
        <v>16.75</v>
      </c>
      <c r="N68">
        <v>10.68</v>
      </c>
      <c r="O68">
        <v>2.48</v>
      </c>
      <c r="P68">
        <v>28.26</v>
      </c>
      <c r="Q68">
        <v>21.68</v>
      </c>
      <c r="R68">
        <v>22.39</v>
      </c>
      <c r="S68" s="5">
        <f>SUM(D68:O68)</f>
      </c>
      <c r="T68" s="5">
        <f>SUM(P68:R68)</f>
      </c>
    </row>
    <row r="69">
      <c r="A69" t="str">
        <v>MT</v>
      </c>
      <c r="B69" t="str">
        <v>South-2</v>
      </c>
      <c r="C69" t="str">
        <v>Lulu</v>
      </c>
      <c r="D69">
        <v>1.99</v>
      </c>
      <c r="E69">
        <v>2.66</v>
      </c>
      <c r="F69">
        <v>4.27</v>
      </c>
      <c r="G69">
        <v>3.99</v>
      </c>
      <c r="H69">
        <v>1.77</v>
      </c>
      <c r="K69">
        <v>24.31</v>
      </c>
      <c r="L69">
        <v>2.82</v>
      </c>
      <c r="M69">
        <v>6.67</v>
      </c>
      <c r="N69">
        <v>4.96</v>
      </c>
      <c r="O69">
        <v>5.48</v>
      </c>
      <c r="P69">
        <v>12.82</v>
      </c>
      <c r="Q69">
        <v>20.07</v>
      </c>
      <c r="R69">
        <v>14.97</v>
      </c>
      <c r="S69" s="5">
        <f>SUM(D69:O69)</f>
      </c>
      <c r="T69" s="5">
        <f>SUM(P69:R69)</f>
      </c>
    </row>
    <row r="70">
      <c r="A70" t="str">
        <v>MT</v>
      </c>
      <c r="B70" t="str">
        <v>South-2</v>
      </c>
      <c r="C70" t="str">
        <v>Metro-CNC-RRL</v>
      </c>
      <c r="D70">
        <v>5.31</v>
      </c>
      <c r="E70">
        <v>3.98</v>
      </c>
      <c r="F70">
        <v>5.42</v>
      </c>
      <c r="G70">
        <v>13.51</v>
      </c>
      <c r="H70">
        <v>9.5</v>
      </c>
      <c r="I70">
        <v>9.02</v>
      </c>
      <c r="J70">
        <v>7.71</v>
      </c>
      <c r="K70">
        <v>26.53</v>
      </c>
      <c r="L70">
        <v>10.37</v>
      </c>
      <c r="M70">
        <v>10.95</v>
      </c>
      <c r="N70">
        <v>3.84</v>
      </c>
      <c r="O70">
        <v>8.41</v>
      </c>
      <c r="P70">
        <v>9.2</v>
      </c>
      <c r="Q70">
        <v>7.04</v>
      </c>
      <c r="S70" s="5">
        <f>SUM(D70:O70)</f>
      </c>
      <c r="T70" s="5">
        <f>SUM(P70:R70)</f>
      </c>
    </row>
    <row r="71">
      <c r="A71" t="str">
        <v>MT</v>
      </c>
      <c r="B71" t="str">
        <v>South-2</v>
      </c>
      <c r="C71" t="str">
        <v>More Retail</v>
      </c>
      <c r="D71">
        <v>23.14</v>
      </c>
      <c r="E71">
        <v>10.26</v>
      </c>
      <c r="F71">
        <v>12.36</v>
      </c>
      <c r="G71">
        <v>23.5</v>
      </c>
      <c r="H71">
        <v>7.66</v>
      </c>
      <c r="I71">
        <v>0.88</v>
      </c>
      <c r="J71">
        <v>2.82</v>
      </c>
      <c r="K71">
        <v>34.89</v>
      </c>
      <c r="L71">
        <v>-1.34</v>
      </c>
      <c r="M71">
        <v>21.71</v>
      </c>
      <c r="N71">
        <v>16.11</v>
      </c>
      <c r="O71">
        <v>8.64</v>
      </c>
      <c r="P71">
        <v>24.97</v>
      </c>
      <c r="Q71">
        <v>18.7</v>
      </c>
      <c r="R71">
        <v>20.52</v>
      </c>
      <c r="S71" s="5">
        <f>SUM(D71:O71)</f>
      </c>
      <c r="T71" s="5">
        <f>SUM(P71:R71)</f>
      </c>
    </row>
    <row r="72">
      <c r="A72" t="str">
        <v>MT</v>
      </c>
      <c r="B72" t="str">
        <v>South-2</v>
      </c>
      <c r="C72" t="str">
        <v>Mother Care</v>
      </c>
      <c r="R72">
        <v>0.45</v>
      </c>
      <c r="S72" s="5">
        <f>SUM(D72:O72)</f>
      </c>
      <c r="T72" s="5">
        <f>SUM(P72:R72)</f>
      </c>
    </row>
    <row r="73">
      <c r="A73" t="str">
        <v>MT</v>
      </c>
      <c r="B73" t="str">
        <v>South-2</v>
      </c>
      <c r="C73" t="str">
        <v>National Mart</v>
      </c>
      <c r="O73">
        <v>0.18</v>
      </c>
      <c r="P73">
        <v>2.8</v>
      </c>
      <c r="Q73">
        <v>3.19</v>
      </c>
      <c r="R73">
        <v>3.72</v>
      </c>
      <c r="S73" s="5">
        <f>SUM(D73:O73)</f>
      </c>
      <c r="T73" s="5">
        <f>SUM(P73:R73)</f>
      </c>
    </row>
    <row r="74">
      <c r="A74" t="str">
        <v>MT</v>
      </c>
      <c r="B74" t="str">
        <v>South-2</v>
      </c>
      <c r="C74" t="str">
        <v>Ratnadeep</v>
      </c>
      <c r="D74">
        <v>9.23</v>
      </c>
      <c r="E74">
        <v>9.55</v>
      </c>
      <c r="F74">
        <v>4.67</v>
      </c>
      <c r="G74">
        <v>12.95</v>
      </c>
      <c r="H74">
        <v>3.69</v>
      </c>
      <c r="L74">
        <v>6.09</v>
      </c>
      <c r="M74">
        <v>7.54</v>
      </c>
      <c r="N74">
        <v>8.71</v>
      </c>
      <c r="O74">
        <v>0.21</v>
      </c>
      <c r="P74">
        <v>3.82</v>
      </c>
      <c r="Q74">
        <v>3.32</v>
      </c>
      <c r="R74">
        <v>2.55</v>
      </c>
      <c r="S74" s="5">
        <f>SUM(D74:O74)</f>
      </c>
      <c r="T74" s="5">
        <f>SUM(P74:R74)</f>
      </c>
    </row>
    <row r="75">
      <c r="A75" t="str">
        <v>MT</v>
      </c>
      <c r="B75" t="str">
        <v>South-2</v>
      </c>
      <c r="C75" t="str">
        <v>Relay</v>
      </c>
      <c r="P75">
        <v>-0.07</v>
      </c>
      <c r="S75" s="5">
        <f>SUM(D75:O75)</f>
      </c>
      <c r="T75" s="5">
        <f>SUM(P75:R75)</f>
      </c>
    </row>
    <row r="76">
      <c r="A76" t="str">
        <v>MT</v>
      </c>
      <c r="B76" t="str">
        <v>South-2</v>
      </c>
      <c r="C76" t="str">
        <v>Reliance Retail</v>
      </c>
      <c r="D76">
        <v>133.61</v>
      </c>
      <c r="E76">
        <v>45.93</v>
      </c>
      <c r="F76">
        <v>33.69</v>
      </c>
      <c r="G76">
        <v>64.1</v>
      </c>
      <c r="H76">
        <v>34.64</v>
      </c>
      <c r="I76">
        <v>25.94</v>
      </c>
      <c r="J76">
        <v>47.91</v>
      </c>
      <c r="K76">
        <v>56.48</v>
      </c>
      <c r="L76">
        <v>45.34</v>
      </c>
      <c r="M76">
        <v>134.88</v>
      </c>
      <c r="N76">
        <v>32.94</v>
      </c>
      <c r="O76">
        <v>59.51</v>
      </c>
      <c r="P76">
        <v>116.26</v>
      </c>
      <c r="Q76">
        <v>98.53</v>
      </c>
      <c r="R76">
        <v>75.84</v>
      </c>
      <c r="S76" s="5">
        <f>SUM(D76:O76)</f>
      </c>
      <c r="T76" s="5">
        <f>SUM(P76:R76)</f>
      </c>
    </row>
    <row r="77">
      <c r="A77" t="str">
        <v>MT</v>
      </c>
      <c r="B77" t="str">
        <v>South-2</v>
      </c>
      <c r="C77" t="str">
        <v>Spencer</v>
      </c>
      <c r="M77">
        <v>0.48</v>
      </c>
      <c r="N77">
        <v>4.52</v>
      </c>
      <c r="S77" s="5">
        <f>SUM(D77:O77)</f>
      </c>
      <c r="T77" s="5">
        <f>SUM(P77:R77)</f>
      </c>
    </row>
    <row r="78">
      <c r="A78" t="str">
        <v>MT</v>
      </c>
      <c r="B78" t="str">
        <v>South-2</v>
      </c>
      <c r="C78" t="str">
        <v>Vijetha</v>
      </c>
      <c r="D78">
        <v>8.28</v>
      </c>
      <c r="E78">
        <v>3.03</v>
      </c>
      <c r="F78">
        <v>3.14</v>
      </c>
      <c r="G78">
        <v>3.98</v>
      </c>
      <c r="S78" s="5">
        <f>SUM(D78:O78)</f>
      </c>
      <c r="T78" s="5">
        <f>SUM(P78:R78)</f>
      </c>
    </row>
    <row r="79">
      <c r="A79" t="str">
        <v>MT</v>
      </c>
      <c r="B79" t="str">
        <v>South-2</v>
      </c>
      <c r="C79" t="str">
        <v>VMM</v>
      </c>
      <c r="D79">
        <v>0.59</v>
      </c>
      <c r="H79">
        <v>0.08</v>
      </c>
      <c r="Q79">
        <v>0.06</v>
      </c>
      <c r="S79" s="5">
        <f>SUM(D79:O79)</f>
      </c>
      <c r="T79" s="5">
        <f>SUM(P79:R79)</f>
      </c>
    </row>
    <row r="80">
      <c r="A80" t="str">
        <v>MT</v>
      </c>
      <c r="B80" t="str">
        <v>South-2</v>
      </c>
      <c r="C80" t="str">
        <v>Walmart CNC</v>
      </c>
      <c r="D80">
        <v>1.15</v>
      </c>
      <c r="E80">
        <v>0.69</v>
      </c>
      <c r="F80">
        <v>2.82</v>
      </c>
      <c r="G80">
        <v>3.07</v>
      </c>
      <c r="H80">
        <v>2.08</v>
      </c>
      <c r="J80">
        <v>2.76</v>
      </c>
      <c r="K80">
        <v>0.33</v>
      </c>
      <c r="M80">
        <v>3.23</v>
      </c>
      <c r="N80">
        <v>0.33</v>
      </c>
      <c r="O80">
        <v>2.87</v>
      </c>
      <c r="P80">
        <v>0.61</v>
      </c>
      <c r="Q80">
        <v>3.36</v>
      </c>
      <c r="S80" s="5">
        <f>SUM(D80:O80)</f>
      </c>
      <c r="T80" s="5">
        <f>SUM(P80:R80)</f>
      </c>
    </row>
    <row r="81">
      <c r="A81" t="str">
        <v>MT</v>
      </c>
      <c r="B81" t="str">
        <v>South-2</v>
      </c>
      <c r="C81" t="str">
        <v>WH-Smith</v>
      </c>
      <c r="E81">
        <v>-0.94</v>
      </c>
      <c r="M81">
        <v>0.31</v>
      </c>
      <c r="S81" s="5">
        <f>SUM(D81:O81)</f>
      </c>
      <c r="T81" s="5">
        <f>SUM(P81:R81)</f>
      </c>
    </row>
    <row r="82">
      <c r="A82" t="str">
        <v>MT</v>
      </c>
      <c r="B82" t="str">
        <v>West</v>
      </c>
      <c r="C82" t="str">
        <v>Apollo Healthco</v>
      </c>
      <c r="D82">
        <v>34.97</v>
      </c>
      <c r="E82">
        <v>24.21</v>
      </c>
      <c r="F82">
        <v>26.63</v>
      </c>
      <c r="G82">
        <v>25.62</v>
      </c>
      <c r="H82">
        <v>47.37</v>
      </c>
      <c r="I82">
        <v>53.83</v>
      </c>
      <c r="J82">
        <v>39.22</v>
      </c>
      <c r="K82">
        <v>70.14</v>
      </c>
      <c r="L82">
        <v>74.48</v>
      </c>
      <c r="M82">
        <v>48.67</v>
      </c>
      <c r="N82">
        <v>56.12</v>
      </c>
      <c r="O82">
        <v>97.39</v>
      </c>
      <c r="P82">
        <v>103.59</v>
      </c>
      <c r="Q82">
        <v>93.26</v>
      </c>
      <c r="R82">
        <v>68.38</v>
      </c>
      <c r="S82" s="5">
        <f>SUM(D82:O82)</f>
      </c>
      <c r="T82" s="5">
        <f>SUM(P82:R82)</f>
      </c>
    </row>
    <row r="83">
      <c r="A83" t="str">
        <v>MT</v>
      </c>
      <c r="B83" t="str">
        <v>West</v>
      </c>
      <c r="C83" t="str">
        <v>D-Mart</v>
      </c>
      <c r="D83">
        <v>530.12</v>
      </c>
      <c r="E83">
        <v>338.68</v>
      </c>
      <c r="F83">
        <v>369.79</v>
      </c>
      <c r="G83">
        <v>326.72</v>
      </c>
      <c r="H83">
        <v>346.57</v>
      </c>
      <c r="I83">
        <v>399.34</v>
      </c>
      <c r="J83">
        <v>526.94</v>
      </c>
      <c r="K83">
        <v>636.15</v>
      </c>
      <c r="L83">
        <v>411.03</v>
      </c>
      <c r="M83">
        <v>463.22</v>
      </c>
      <c r="N83">
        <v>807.18</v>
      </c>
      <c r="O83">
        <v>372.05</v>
      </c>
      <c r="P83">
        <v>1025.13</v>
      </c>
      <c r="Q83">
        <v>772</v>
      </c>
      <c r="R83">
        <v>712.61</v>
      </c>
      <c r="S83" s="5">
        <f>SUM(D83:O83)</f>
      </c>
      <c r="T83" s="5">
        <f>SUM(P83:R83)</f>
      </c>
    </row>
    <row r="84">
      <c r="A84" t="str">
        <v>MT</v>
      </c>
      <c r="B84" t="str">
        <v>West</v>
      </c>
      <c r="C84" t="str">
        <v>H&amp;G</v>
      </c>
      <c r="D84">
        <v>0</v>
      </c>
      <c r="F84">
        <v>-2.27</v>
      </c>
      <c r="G84">
        <v>3.06</v>
      </c>
      <c r="H84">
        <v>1.53</v>
      </c>
      <c r="I84">
        <v>-0.01</v>
      </c>
      <c r="J84">
        <v>0</v>
      </c>
      <c r="L84">
        <v>-1.31</v>
      </c>
      <c r="M84">
        <v>-1.06</v>
      </c>
      <c r="N84">
        <v>0.78</v>
      </c>
      <c r="O84">
        <v>1.35</v>
      </c>
      <c r="P84">
        <v>3.26</v>
      </c>
      <c r="Q84">
        <v>3.6</v>
      </c>
      <c r="R84">
        <v>3.95</v>
      </c>
      <c r="S84" s="5">
        <f>SUM(D84:O84)</f>
      </c>
      <c r="T84" s="5">
        <f>SUM(P84:R84)</f>
      </c>
    </row>
    <row r="85">
      <c r="A85" t="str">
        <v>MT</v>
      </c>
      <c r="B85" t="str">
        <v>West</v>
      </c>
      <c r="C85" t="str">
        <v>Metro-CNC-RRL</v>
      </c>
      <c r="D85">
        <v>7.29</v>
      </c>
      <c r="E85">
        <v>1.66</v>
      </c>
      <c r="F85">
        <v>5.07</v>
      </c>
      <c r="G85">
        <v>7.79</v>
      </c>
      <c r="H85">
        <v>-0.44</v>
      </c>
      <c r="I85">
        <v>6.93</v>
      </c>
      <c r="J85">
        <v>2.18</v>
      </c>
      <c r="K85">
        <v>7.76</v>
      </c>
      <c r="L85">
        <v>9.02</v>
      </c>
      <c r="M85">
        <v>4.76</v>
      </c>
      <c r="N85">
        <v>2.96</v>
      </c>
      <c r="O85">
        <v>3.12</v>
      </c>
      <c r="P85">
        <v>6.1</v>
      </c>
      <c r="Q85">
        <v>31.07</v>
      </c>
      <c r="S85" s="5">
        <f>SUM(D85:O85)</f>
      </c>
      <c r="T85" s="5">
        <f>SUM(P85:R85)</f>
      </c>
    </row>
    <row r="86">
      <c r="A86" t="str">
        <v>MT</v>
      </c>
      <c r="B86" t="str">
        <v>West</v>
      </c>
      <c r="C86" t="str">
        <v>More Retail</v>
      </c>
      <c r="R86">
        <v>2.07</v>
      </c>
      <c r="S86" s="5">
        <f>SUM(D86:O86)</f>
      </c>
      <c r="T86" s="5">
        <f>SUM(P86:R86)</f>
      </c>
    </row>
    <row r="87">
      <c r="A87" t="str">
        <v>MT</v>
      </c>
      <c r="B87" t="str">
        <v>West</v>
      </c>
      <c r="C87" t="str">
        <v>Relay</v>
      </c>
      <c r="H87">
        <v>-0.19</v>
      </c>
      <c r="S87" s="5">
        <f>SUM(D87:O87)</f>
      </c>
      <c r="T87" s="5">
        <f>SUM(P87:R87)</f>
      </c>
    </row>
    <row r="88">
      <c r="A88" t="str">
        <v>MT</v>
      </c>
      <c r="B88" t="str">
        <v>West</v>
      </c>
      <c r="C88" t="str">
        <v>Reliance Retail</v>
      </c>
      <c r="D88">
        <v>191.19</v>
      </c>
      <c r="E88">
        <v>88.7</v>
      </c>
      <c r="F88">
        <v>55.7</v>
      </c>
      <c r="G88">
        <v>102.41</v>
      </c>
      <c r="H88">
        <v>88.15</v>
      </c>
      <c r="I88">
        <v>46.49</v>
      </c>
      <c r="J88">
        <v>127.69</v>
      </c>
      <c r="K88">
        <v>148.57</v>
      </c>
      <c r="L88">
        <v>146.75</v>
      </c>
      <c r="M88">
        <v>228.1</v>
      </c>
      <c r="N88">
        <v>52.59</v>
      </c>
      <c r="O88">
        <v>129.13</v>
      </c>
      <c r="P88">
        <v>180.85</v>
      </c>
      <c r="Q88">
        <v>166.33</v>
      </c>
      <c r="R88">
        <v>146.74</v>
      </c>
      <c r="S88" s="5">
        <f>SUM(D88:O88)</f>
      </c>
      <c r="T88" s="5">
        <f>SUM(P88:R88)</f>
      </c>
    </row>
    <row r="89">
      <c r="A89" t="str">
        <v>MT</v>
      </c>
      <c r="B89" t="str">
        <v>West</v>
      </c>
      <c r="C89" t="str">
        <v>Trent</v>
      </c>
      <c r="D89">
        <v>2.63</v>
      </c>
      <c r="E89">
        <v>3.78</v>
      </c>
      <c r="F89">
        <v>0.97</v>
      </c>
      <c r="G89">
        <v>3.92</v>
      </c>
      <c r="H89">
        <v>2.69</v>
      </c>
      <c r="I89">
        <v>3.29</v>
      </c>
      <c r="J89">
        <v>2.9</v>
      </c>
      <c r="K89">
        <v>1.83</v>
      </c>
      <c r="L89">
        <v>2.89</v>
      </c>
      <c r="M89">
        <v>2.37</v>
      </c>
      <c r="N89">
        <v>4.25</v>
      </c>
      <c r="O89">
        <v>1.58</v>
      </c>
      <c r="P89">
        <v>4.23</v>
      </c>
      <c r="Q89">
        <v>8.98</v>
      </c>
      <c r="R89">
        <v>5.81</v>
      </c>
      <c r="S89" s="5">
        <f>SUM(D89:O89)</f>
      </c>
      <c r="T89" s="5">
        <f>SUM(P89:R89)</f>
      </c>
    </row>
    <row r="90">
      <c r="A90" t="str">
        <v>MT</v>
      </c>
      <c r="B90" t="str">
        <v>West</v>
      </c>
      <c r="C90" t="str">
        <v>Walmart CNC</v>
      </c>
      <c r="D90">
        <v>8</v>
      </c>
      <c r="E90">
        <v>9.26</v>
      </c>
      <c r="F90">
        <v>1.06</v>
      </c>
      <c r="G90">
        <v>3.12</v>
      </c>
      <c r="I90">
        <v>4.9</v>
      </c>
      <c r="J90">
        <v>3.91</v>
      </c>
      <c r="K90">
        <v>1.37</v>
      </c>
      <c r="L90">
        <v>2.78</v>
      </c>
      <c r="M90">
        <v>1.63</v>
      </c>
      <c r="N90">
        <v>0.63</v>
      </c>
      <c r="O90">
        <v>2.72</v>
      </c>
      <c r="P90">
        <v>1.23</v>
      </c>
      <c r="Q90">
        <v>4</v>
      </c>
      <c r="S90" s="5">
        <f>SUM(D90:O90)</f>
      </c>
      <c r="T90" s="5">
        <f>SUM(P90:R90)</f>
      </c>
    </row>
    <row r="91">
      <c r="A91" t="str">
        <v>MT</v>
      </c>
      <c r="B91" t="str">
        <v>West</v>
      </c>
      <c r="C91" t="str">
        <v>Wellness Forever</v>
      </c>
      <c r="D91">
        <v>107.3</v>
      </c>
      <c r="E91">
        <v>106.24</v>
      </c>
      <c r="F91">
        <v>138.64</v>
      </c>
      <c r="G91">
        <v>4.59</v>
      </c>
      <c r="H91">
        <v>14.75</v>
      </c>
      <c r="I91">
        <v>47.88</v>
      </c>
      <c r="J91">
        <v>59.04</v>
      </c>
      <c r="K91">
        <v>99.98</v>
      </c>
      <c r="L91">
        <v>39.93</v>
      </c>
      <c r="M91">
        <v>90.38</v>
      </c>
      <c r="N91">
        <v>67.63</v>
      </c>
      <c r="O91">
        <v>85.64</v>
      </c>
      <c r="P91">
        <v>115.85</v>
      </c>
      <c r="Q91">
        <v>91.98</v>
      </c>
      <c r="R91">
        <v>66.66</v>
      </c>
      <c r="S91" s="5">
        <f>SUM(D91:O91)</f>
      </c>
      <c r="T91" s="5">
        <f>SUM(P91:R91)</f>
      </c>
    </row>
    <row r="92">
      <c r="A92" t="str">
        <v>SIS</v>
      </c>
      <c r="B92" t="str">
        <v>East</v>
      </c>
      <c r="C92" t="str">
        <v>Lifestyle</v>
      </c>
      <c r="J92">
        <v>0</v>
      </c>
      <c r="K92">
        <v>0.99</v>
      </c>
      <c r="L92">
        <v>0.14</v>
      </c>
      <c r="M92">
        <v>0.57</v>
      </c>
      <c r="N92">
        <v>0.54</v>
      </c>
      <c r="S92" s="5">
        <f>SUM(D92:O92)</f>
      </c>
      <c r="T92" s="5">
        <f>SUM(P92:R92)</f>
      </c>
    </row>
    <row r="93">
      <c r="A93" t="str">
        <v>SIS</v>
      </c>
      <c r="B93" t="str">
        <v>East</v>
      </c>
      <c r="C93" t="str">
        <v>Shoppers Stop</v>
      </c>
      <c r="E93">
        <v>5.77</v>
      </c>
      <c r="F93">
        <v>7.95</v>
      </c>
      <c r="G93">
        <v>27.11</v>
      </c>
      <c r="H93">
        <v>8.79</v>
      </c>
      <c r="I93">
        <v>2.9</v>
      </c>
      <c r="J93">
        <v>14.85</v>
      </c>
      <c r="K93">
        <v>5.49</v>
      </c>
      <c r="L93">
        <v>5.28</v>
      </c>
      <c r="M93">
        <v>3.06</v>
      </c>
      <c r="N93">
        <v>2.92</v>
      </c>
      <c r="O93">
        <v>1.53</v>
      </c>
      <c r="P93">
        <v>-1.41</v>
      </c>
      <c r="S93" s="5">
        <f>SUM(D93:O93)</f>
      </c>
      <c r="T93" s="5">
        <f>SUM(P93:R93)</f>
      </c>
    </row>
    <row r="94">
      <c r="A94" t="str">
        <v>SIS</v>
      </c>
      <c r="B94" t="str">
        <v>North</v>
      </c>
      <c r="C94" t="str">
        <v>Broadway</v>
      </c>
      <c r="E94">
        <v>1.31</v>
      </c>
      <c r="F94">
        <v>1.73</v>
      </c>
      <c r="G94">
        <v>3.42</v>
      </c>
      <c r="H94">
        <v>0.68</v>
      </c>
      <c r="I94">
        <v>0.9</v>
      </c>
      <c r="J94">
        <v>0.57</v>
      </c>
      <c r="K94">
        <v>0.9</v>
      </c>
      <c r="L94">
        <v>0.51</v>
      </c>
      <c r="M94">
        <v>0.51</v>
      </c>
      <c r="N94">
        <v>0.87</v>
      </c>
      <c r="S94" s="5">
        <f>SUM(D94:O94)</f>
      </c>
      <c r="T94" s="5">
        <f>SUM(P94:R94)</f>
      </c>
    </row>
    <row r="95">
      <c r="A95" t="str">
        <v>SIS</v>
      </c>
      <c r="B95" t="str">
        <v>North</v>
      </c>
      <c r="C95" t="str">
        <v>Lifestyle</v>
      </c>
      <c r="F95">
        <v>1.03</v>
      </c>
      <c r="I95">
        <v>0.22</v>
      </c>
      <c r="J95">
        <v>0</v>
      </c>
      <c r="K95">
        <v>2.16</v>
      </c>
      <c r="L95">
        <v>0.87</v>
      </c>
      <c r="M95">
        <v>1.13</v>
      </c>
      <c r="N95">
        <v>1.73</v>
      </c>
      <c r="S95" s="5">
        <f>SUM(D95:O95)</f>
      </c>
      <c r="T95" s="5">
        <f>SUM(P95:R95)</f>
      </c>
    </row>
    <row r="96">
      <c r="A96" t="str">
        <v>SIS</v>
      </c>
      <c r="B96" t="str">
        <v>North</v>
      </c>
      <c r="C96" t="str">
        <v>Lifestyle Babyshop</v>
      </c>
      <c r="E96">
        <v>0.47</v>
      </c>
      <c r="S96" s="5">
        <f>SUM(D96:O96)</f>
      </c>
      <c r="T96" s="5">
        <f>SUM(P96:R96)</f>
      </c>
    </row>
    <row r="97">
      <c r="A97" t="str">
        <v>SIS</v>
      </c>
      <c r="B97" t="str">
        <v>North</v>
      </c>
      <c r="C97" t="str">
        <v>Shoppers Stop</v>
      </c>
      <c r="E97">
        <v>2.17</v>
      </c>
      <c r="F97">
        <v>-0.03</v>
      </c>
      <c r="G97">
        <v>2.54</v>
      </c>
      <c r="H97">
        <v>2.52</v>
      </c>
      <c r="I97">
        <v>5.17</v>
      </c>
      <c r="J97">
        <v>1.75</v>
      </c>
      <c r="K97">
        <v>1.63</v>
      </c>
      <c r="L97">
        <v>3.84</v>
      </c>
      <c r="M97">
        <v>4.58</v>
      </c>
      <c r="N97">
        <v>0.59</v>
      </c>
      <c r="O97">
        <v>1.21</v>
      </c>
      <c r="P97">
        <v>2.69</v>
      </c>
      <c r="S97" s="5">
        <f>SUM(D97:O97)</f>
      </c>
      <c r="T97" s="5">
        <f>SUM(P97:R97)</f>
      </c>
    </row>
    <row r="98">
      <c r="A98" t="str">
        <v>SIS</v>
      </c>
      <c r="B98" t="str">
        <v>South-1</v>
      </c>
      <c r="C98" t="str">
        <v>Lifestyle</v>
      </c>
      <c r="F98">
        <v>1.03</v>
      </c>
      <c r="I98">
        <v>0.66</v>
      </c>
      <c r="J98">
        <v>1.01</v>
      </c>
      <c r="K98">
        <v>1.58</v>
      </c>
      <c r="L98">
        <v>-0.29</v>
      </c>
      <c r="M98">
        <v>1.08</v>
      </c>
      <c r="N98">
        <v>2.15</v>
      </c>
      <c r="S98" s="5">
        <f>SUM(D98:O98)</f>
      </c>
      <c r="T98" s="5">
        <f>SUM(P98:R98)</f>
      </c>
    </row>
    <row r="99">
      <c r="A99" t="str">
        <v>SIS</v>
      </c>
      <c r="B99" t="str">
        <v>South-1</v>
      </c>
      <c r="C99" t="str">
        <v>Lifestyle Babyshop</v>
      </c>
      <c r="E99">
        <v>0.7</v>
      </c>
      <c r="S99" s="5">
        <f>SUM(D99:O99)</f>
      </c>
      <c r="T99" s="5">
        <f>SUM(P99:R99)</f>
      </c>
    </row>
    <row r="100">
      <c r="A100" t="str">
        <v>SIS</v>
      </c>
      <c r="B100" t="str">
        <v>South-1</v>
      </c>
      <c r="C100" t="str">
        <v>Shoppers Stop</v>
      </c>
      <c r="E100">
        <v>0.55</v>
      </c>
      <c r="F100">
        <v>-1.21</v>
      </c>
      <c r="H100">
        <v>1.05</v>
      </c>
      <c r="I100">
        <v>0.99</v>
      </c>
      <c r="K100">
        <v>1.06</v>
      </c>
      <c r="L100">
        <v>0.95</v>
      </c>
      <c r="M100">
        <v>0.72</v>
      </c>
      <c r="O100">
        <v>0.62</v>
      </c>
      <c r="P100">
        <v>1.93</v>
      </c>
      <c r="S100" s="5">
        <f>SUM(D100:O100)</f>
      </c>
      <c r="T100" s="5">
        <f>SUM(P100:R100)</f>
      </c>
    </row>
    <row r="101">
      <c r="A101" t="str">
        <v>SIS</v>
      </c>
      <c r="B101" t="str">
        <v>South-2</v>
      </c>
      <c r="C101" t="str">
        <v>Broadway</v>
      </c>
      <c r="F101">
        <v>4.91</v>
      </c>
      <c r="G101">
        <v>2.03</v>
      </c>
      <c r="H101">
        <v>0.37</v>
      </c>
      <c r="J101">
        <v>2.12</v>
      </c>
      <c r="K101">
        <v>0.54</v>
      </c>
      <c r="L101">
        <v>0.48</v>
      </c>
      <c r="M101">
        <v>0.56</v>
      </c>
      <c r="N101">
        <v>0.28</v>
      </c>
      <c r="S101" s="5">
        <f>SUM(D101:O101)</f>
      </c>
      <c r="T101" s="5">
        <f>SUM(P101:R101)</f>
      </c>
    </row>
    <row r="102">
      <c r="A102" t="str">
        <v>SIS</v>
      </c>
      <c r="B102" t="str">
        <v>South-2</v>
      </c>
      <c r="C102" t="str">
        <v>Lifestyle</v>
      </c>
      <c r="F102">
        <v>0.99</v>
      </c>
      <c r="I102">
        <v>0</v>
      </c>
      <c r="J102">
        <v>0.2</v>
      </c>
      <c r="K102">
        <v>0.1</v>
      </c>
      <c r="L102">
        <v>0.29</v>
      </c>
      <c r="M102">
        <v>0.46</v>
      </c>
      <c r="N102">
        <v>0.49</v>
      </c>
      <c r="S102" s="5">
        <f>SUM(D102:O102)</f>
      </c>
      <c r="T102" s="5">
        <f>SUM(P102:R102)</f>
      </c>
    </row>
    <row r="103">
      <c r="A103" t="str">
        <v>SIS</v>
      </c>
      <c r="B103" t="str">
        <v>South-2</v>
      </c>
      <c r="C103" t="str">
        <v>Shoppers Stop</v>
      </c>
      <c r="F103">
        <v>-0.86</v>
      </c>
      <c r="S103" s="5">
        <f>SUM(D103:O103)</f>
      </c>
      <c r="T103" s="5">
        <f>SUM(P103:R103)</f>
      </c>
    </row>
    <row r="104">
      <c r="A104" t="str">
        <v>SIS</v>
      </c>
      <c r="B104" t="str">
        <v>South-2</v>
      </c>
      <c r="C104" t="str">
        <v>Today's Basket</v>
      </c>
      <c r="E104">
        <v>0.72</v>
      </c>
      <c r="I104">
        <v>0.59</v>
      </c>
      <c r="J104">
        <v>0.01</v>
      </c>
      <c r="N104">
        <v>0.92</v>
      </c>
      <c r="S104" s="5">
        <f>SUM(D104:O104)</f>
      </c>
      <c r="T104" s="5">
        <f>SUM(P104:R104)</f>
      </c>
    </row>
    <row r="105">
      <c r="A105" t="str">
        <v>SIS</v>
      </c>
      <c r="B105" t="str">
        <v>West</v>
      </c>
      <c r="C105" t="str">
        <v>Azorte</v>
      </c>
      <c r="E105">
        <v>1.01</v>
      </c>
      <c r="H105">
        <v>7.74</v>
      </c>
      <c r="I105">
        <v>21.59</v>
      </c>
      <c r="J105">
        <v>-4.12</v>
      </c>
      <c r="K105">
        <v>5.95</v>
      </c>
      <c r="L105">
        <v>24.02</v>
      </c>
      <c r="M105">
        <v>-0.05</v>
      </c>
      <c r="N105">
        <v>6.05</v>
      </c>
      <c r="O105">
        <v>5.9</v>
      </c>
      <c r="P105">
        <v>1.23</v>
      </c>
      <c r="Q105">
        <v>1.42</v>
      </c>
      <c r="S105" s="5">
        <f>SUM(D105:O105)</f>
      </c>
      <c r="T105" s="5">
        <f>SUM(P105:R105)</f>
      </c>
    </row>
    <row r="106">
      <c r="A106" t="str">
        <v>SIS</v>
      </c>
      <c r="B106" t="str">
        <v>West</v>
      </c>
      <c r="C106" t="str">
        <v>Broadway</v>
      </c>
      <c r="N106">
        <v>1.99</v>
      </c>
      <c r="S106" s="5">
        <f>SUM(D106:O106)</f>
      </c>
      <c r="T106" s="5">
        <f>SUM(P106:R106)</f>
      </c>
    </row>
    <row r="107">
      <c r="A107" t="str">
        <v>SIS</v>
      </c>
      <c r="B107" t="str">
        <v>West</v>
      </c>
      <c r="C107" t="str">
        <v>Lifestyle</v>
      </c>
      <c r="H107">
        <v>0</v>
      </c>
      <c r="I107">
        <v>1.04</v>
      </c>
      <c r="J107">
        <v>0</v>
      </c>
      <c r="K107">
        <v>6.04</v>
      </c>
      <c r="L107">
        <v>1.28</v>
      </c>
      <c r="M107">
        <v>-0.01</v>
      </c>
      <c r="N107">
        <v>5.31</v>
      </c>
      <c r="S107" s="5">
        <f>SUM(D107:O107)</f>
      </c>
      <c r="T107" s="5">
        <f>SUM(P107:R107)</f>
      </c>
    </row>
    <row r="108">
      <c r="A108" t="str">
        <v>SIS</v>
      </c>
      <c r="B108" t="str">
        <v>West</v>
      </c>
      <c r="C108" t="str">
        <v>Reliance Retail-(Azorte)</v>
      </c>
      <c r="R108">
        <v>19.3</v>
      </c>
      <c r="S108" s="5">
        <f>SUM(D108:O108)</f>
      </c>
      <c r="T108" s="5">
        <f>SUM(P108:R108)</f>
      </c>
    </row>
    <row r="109">
      <c r="A109" t="str">
        <v>SIS</v>
      </c>
      <c r="B109" t="str">
        <v>West</v>
      </c>
      <c r="C109" t="str">
        <v>Shoppers Stop</v>
      </c>
      <c r="E109">
        <v>0.54</v>
      </c>
      <c r="F109">
        <v>-0.09</v>
      </c>
      <c r="G109">
        <v>0.35</v>
      </c>
      <c r="H109">
        <v>0.76</v>
      </c>
      <c r="I109">
        <v>0.27</v>
      </c>
      <c r="J109">
        <v>0.28</v>
      </c>
      <c r="K109">
        <v>0.28</v>
      </c>
      <c r="L109">
        <v>1.65</v>
      </c>
      <c r="M109">
        <v>1.45</v>
      </c>
      <c r="O109">
        <v>0.23</v>
      </c>
      <c r="P109">
        <v>1.99</v>
      </c>
      <c r="S109" s="5">
        <f>SUM(D109:O109)</f>
      </c>
      <c r="T109" s="5">
        <f>SUM(P109:R109)</f>
      </c>
    </row>
  </sheetData>
  <ignoredErrors>
    <ignoredError numberStoredAsText="1" sqref="A1:T10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9.83203125" customWidth="1"/>
    <col min="20" max="20" width="9.83203125" customWidth="1"/>
    <col min="21" max="21" width="9.83203125" customWidth="1"/>
    <col min="22" max="22" width="11.83203125" customWidth="1"/>
    <col min="23" max="23" width="13.83203125" customWidth="1"/>
  </cols>
  <sheetData>
    <row r="1">
      <c r="A1" t="str">
        <v>Channel</v>
      </c>
      <c r="B1" t="str">
        <v>Brand</v>
      </c>
      <c r="C1" t="str">
        <v>SubCat</v>
      </c>
      <c r="D1" t="str">
        <v>Jan-25</v>
      </c>
      <c r="E1" t="str">
        <v>Feb-25</v>
      </c>
      <c r="F1" t="str">
        <v>Mar-25</v>
      </c>
      <c r="G1" t="str">
        <v>Apr-25</v>
      </c>
      <c r="H1" t="str">
        <v>May-25</v>
      </c>
      <c r="I1" t="str">
        <v>Jun-25</v>
      </c>
      <c r="J1" t="str">
        <v>Jul-25</v>
      </c>
      <c r="K1" t="str">
        <v>Aug-25</v>
      </c>
      <c r="L1" t="str">
        <v>Sep-25</v>
      </c>
      <c r="M1" t="str">
        <v>Oct-25</v>
      </c>
      <c r="N1" t="str">
        <v>Nov-25</v>
      </c>
      <c r="O1" t="str">
        <v>Dec-25</v>
      </c>
      <c r="P1" t="str">
        <v>Jan-26</v>
      </c>
      <c r="Q1" t="str">
        <v>Feb-26</v>
      </c>
      <c r="R1" t="str">
        <v>Mar-26</v>
      </c>
      <c r="S1" t="str">
        <v>Apr-26</v>
      </c>
      <c r="T1" t="str">
        <v>May-26</v>
      </c>
      <c r="U1" t="str">
        <v>Jun-26</v>
      </c>
      <c r="V1" t="str">
        <v>FY26 Total</v>
      </c>
      <c r="W1" t="str">
        <v>Q1 FY27 (Apr-Jun26)</v>
      </c>
    </row>
    <row r="2">
      <c r="A2" t="str">
        <v>Eb2b</v>
      </c>
      <c r="B2" t="str">
        <v>Aqualogica</v>
      </c>
      <c r="C2" t="str">
        <v>ALL</v>
      </c>
      <c r="D2">
        <v>448318.89</v>
      </c>
      <c r="E2">
        <v>819988.63</v>
      </c>
      <c r="F2">
        <v>709924.35</v>
      </c>
      <c r="G2">
        <v>1016209.83</v>
      </c>
      <c r="H2">
        <v>899752.74</v>
      </c>
      <c r="I2">
        <v>334414.55</v>
      </c>
      <c r="J2">
        <v>195859.18</v>
      </c>
      <c r="K2">
        <v>493592.05</v>
      </c>
      <c r="L2">
        <v>563758.62</v>
      </c>
      <c r="M2">
        <v>510881.12</v>
      </c>
      <c r="N2">
        <v>337506.21</v>
      </c>
      <c r="O2">
        <v>280410.25</v>
      </c>
      <c r="P2">
        <v>1343199.54</v>
      </c>
      <c r="Q2">
        <v>411845.37</v>
      </c>
      <c r="R2">
        <v>222356.18</v>
      </c>
      <c r="S2">
        <v>610470.37</v>
      </c>
      <c r="T2">
        <v>360639.37</v>
      </c>
      <c r="U2">
        <v>137139.07</v>
      </c>
      <c r="V2" s="5">
        <f>SUM(D2:R2)</f>
      </c>
      <c r="W2" s="5">
        <f>SUM(S2:U2)</f>
      </c>
    </row>
    <row r="3">
      <c r="A3" t="str">
        <v>Eb2b</v>
      </c>
      <c r="B3" t="str">
        <v>BBLUNT</v>
      </c>
      <c r="C3" t="str">
        <v>ALL</v>
      </c>
      <c r="D3">
        <v>36369.98</v>
      </c>
      <c r="E3">
        <v>56208.13</v>
      </c>
      <c r="F3">
        <v>33063.57</v>
      </c>
      <c r="G3">
        <v>56208.06</v>
      </c>
      <c r="H3">
        <v>-9999.87</v>
      </c>
      <c r="I3">
        <v>62873.21</v>
      </c>
      <c r="J3">
        <v>31024.66</v>
      </c>
      <c r="K3">
        <v>-4844.35</v>
      </c>
      <c r="L3">
        <v>413.3</v>
      </c>
      <c r="M3">
        <v>-19089.95</v>
      </c>
      <c r="O3">
        <v>-1007.44</v>
      </c>
      <c r="S3">
        <v>-366.76</v>
      </c>
      <c r="T3">
        <v>-885.28</v>
      </c>
      <c r="V3" s="5">
        <f>SUM(D3:R3)</f>
      </c>
      <c r="W3" s="5">
        <f>SUM(S3:U3)</f>
      </c>
    </row>
    <row r="4">
      <c r="A4" t="str">
        <v>Eb2b</v>
      </c>
      <c r="B4" t="str">
        <v>Dr. Sheth's</v>
      </c>
      <c r="C4" t="str">
        <v>ALL</v>
      </c>
      <c r="M4">
        <v>507133.54</v>
      </c>
      <c r="N4">
        <v>755908</v>
      </c>
      <c r="O4">
        <v>1131.09</v>
      </c>
      <c r="P4">
        <v>231224.11</v>
      </c>
      <c r="Q4">
        <v>290383.5</v>
      </c>
      <c r="R4">
        <v>166759.58</v>
      </c>
      <c r="S4">
        <v>373398.13</v>
      </c>
      <c r="T4">
        <v>30879.25</v>
      </c>
      <c r="U4">
        <v>222357.84</v>
      </c>
      <c r="V4" s="5">
        <f>SUM(D4:R4)</f>
      </c>
      <c r="W4" s="5">
        <f>SUM(S4:U4)</f>
      </c>
    </row>
    <row r="5">
      <c r="A5" t="str">
        <v>Eb2b</v>
      </c>
      <c r="B5" t="str">
        <v>Mamaearth</v>
      </c>
      <c r="C5" t="str">
        <v>ALL</v>
      </c>
      <c r="D5">
        <v>7481056.91</v>
      </c>
      <c r="E5">
        <v>9070115.6</v>
      </c>
      <c r="F5">
        <v>6992805.52</v>
      </c>
      <c r="G5">
        <v>19920991.31</v>
      </c>
      <c r="H5">
        <v>12256180.69</v>
      </c>
      <c r="I5">
        <v>14236399.99</v>
      </c>
      <c r="J5">
        <v>16793544.11</v>
      </c>
      <c r="K5">
        <v>9004100.6</v>
      </c>
      <c r="L5">
        <v>10810323.94</v>
      </c>
      <c r="M5">
        <v>9445995.34</v>
      </c>
      <c r="N5">
        <v>11876975.4</v>
      </c>
      <c r="O5">
        <v>10673534.87</v>
      </c>
      <c r="P5">
        <v>13816246.26</v>
      </c>
      <c r="Q5">
        <v>11372451.76</v>
      </c>
      <c r="R5">
        <v>12211742.06</v>
      </c>
      <c r="S5">
        <v>19767306.99</v>
      </c>
      <c r="T5">
        <v>14136532.86</v>
      </c>
      <c r="U5">
        <v>16923559.48</v>
      </c>
      <c r="V5" s="5">
        <f>SUM(D5:R5)</f>
      </c>
      <c r="W5" s="5">
        <f>SUM(S5:U5)</f>
      </c>
    </row>
    <row r="6">
      <c r="A6" t="str">
        <v>Eb2b</v>
      </c>
      <c r="B6" t="str">
        <v>The Derma Co.</v>
      </c>
      <c r="C6" t="str">
        <v>ALL</v>
      </c>
      <c r="D6">
        <v>2035304.08</v>
      </c>
      <c r="E6">
        <v>2956386.68</v>
      </c>
      <c r="F6">
        <v>2224827.66</v>
      </c>
      <c r="G6">
        <v>4393351.3</v>
      </c>
      <c r="H6">
        <v>2327758.63</v>
      </c>
      <c r="I6">
        <v>2619319.62</v>
      </c>
      <c r="J6">
        <v>2397406.7</v>
      </c>
      <c r="K6">
        <v>1775901.23</v>
      </c>
      <c r="L6">
        <v>3545258.38</v>
      </c>
      <c r="M6">
        <v>2379222.22</v>
      </c>
      <c r="N6">
        <v>3333709.8</v>
      </c>
      <c r="O6">
        <v>2784705.75</v>
      </c>
      <c r="P6">
        <v>4468155.07</v>
      </c>
      <c r="Q6">
        <v>3065651.37</v>
      </c>
      <c r="R6">
        <v>2333602.33</v>
      </c>
      <c r="S6">
        <v>6258508.9</v>
      </c>
      <c r="T6">
        <v>3731625.74</v>
      </c>
      <c r="U6">
        <v>3383828.82</v>
      </c>
      <c r="V6" s="5">
        <f>SUM(D6:R6)</f>
      </c>
      <c r="W6" s="5">
        <f>SUM(S6:U6)</f>
      </c>
    </row>
    <row r="7">
      <c r="A7" t="str">
        <v>Eb2b</v>
      </c>
      <c r="B7" t="str">
        <v>TOTAL</v>
      </c>
      <c r="C7" t="str">
        <v>ALL</v>
      </c>
      <c r="D7">
        <v>10001049.86</v>
      </c>
      <c r="E7">
        <v>12902699.04</v>
      </c>
      <c r="F7">
        <v>9960621.1</v>
      </c>
      <c r="G7">
        <v>25386760.5</v>
      </c>
      <c r="H7">
        <v>15473692.19</v>
      </c>
      <c r="I7">
        <v>17253007.37</v>
      </c>
      <c r="J7">
        <v>19417834.65</v>
      </c>
      <c r="K7">
        <v>11268749.53</v>
      </c>
      <c r="L7">
        <v>14919754.24</v>
      </c>
      <c r="M7">
        <v>12824142.27</v>
      </c>
      <c r="N7">
        <v>16304099.41</v>
      </c>
      <c r="O7">
        <v>13738774.52</v>
      </c>
      <c r="P7">
        <v>19858824.98</v>
      </c>
      <c r="Q7">
        <v>15140332</v>
      </c>
      <c r="R7">
        <v>14934460.15</v>
      </c>
      <c r="S7">
        <v>27009317.63</v>
      </c>
      <c r="T7">
        <v>18258791.94</v>
      </c>
      <c r="U7">
        <v>20666885.21</v>
      </c>
      <c r="V7" s="5">
        <f>SUM(D7:R7)</f>
      </c>
      <c r="W7" s="5">
        <f>SUM(S7:U7)</f>
      </c>
    </row>
    <row r="8">
      <c r="A8" t="str">
        <v>MT</v>
      </c>
      <c r="B8" t="str">
        <v>Aqualogica</v>
      </c>
      <c r="C8" t="str">
        <v>ALL</v>
      </c>
      <c r="D8">
        <v>1782587.02</v>
      </c>
      <c r="E8">
        <v>5488873.72</v>
      </c>
      <c r="F8">
        <v>9568093.44</v>
      </c>
      <c r="G8">
        <v>7658153.64</v>
      </c>
      <c r="H8">
        <v>4647095.64</v>
      </c>
      <c r="I8">
        <v>3108617.86</v>
      </c>
      <c r="J8">
        <v>3252502.04</v>
      </c>
      <c r="K8">
        <v>1945303.26</v>
      </c>
      <c r="L8">
        <v>1932338.18</v>
      </c>
      <c r="M8">
        <v>2877223.25</v>
      </c>
      <c r="N8">
        <v>2700230.9</v>
      </c>
      <c r="O8">
        <v>2767037.57</v>
      </c>
      <c r="P8">
        <v>4964520.7</v>
      </c>
      <c r="Q8">
        <v>7885770.98</v>
      </c>
      <c r="R8">
        <v>8715220.9</v>
      </c>
      <c r="S8">
        <v>9894557.07</v>
      </c>
      <c r="T8">
        <v>14329178.11</v>
      </c>
      <c r="U8">
        <v>5302966.98</v>
      </c>
      <c r="V8" s="5">
        <f>SUM(D8:R8)</f>
      </c>
      <c r="W8" s="5">
        <f>SUM(S8:U8)</f>
      </c>
    </row>
    <row r="9">
      <c r="A9" t="str">
        <v>MT</v>
      </c>
      <c r="B9" t="str">
        <v>BBLUNT</v>
      </c>
      <c r="C9" t="str">
        <v>ALL</v>
      </c>
      <c r="D9">
        <v>1559007.57</v>
      </c>
      <c r="E9">
        <v>2145453.37</v>
      </c>
      <c r="F9">
        <v>457337.22</v>
      </c>
      <c r="G9">
        <v>1050297.06</v>
      </c>
      <c r="H9">
        <v>940835.13</v>
      </c>
      <c r="I9">
        <v>1161783.25</v>
      </c>
      <c r="J9">
        <v>1373275.01</v>
      </c>
      <c r="K9">
        <v>328803.9</v>
      </c>
      <c r="L9">
        <v>246127.42</v>
      </c>
      <c r="M9">
        <v>1049550.59</v>
      </c>
      <c r="N9">
        <v>1010254.02</v>
      </c>
      <c r="O9">
        <v>43869.64</v>
      </c>
      <c r="P9">
        <v>1115228.82</v>
      </c>
      <c r="Q9">
        <v>412230.66</v>
      </c>
      <c r="R9">
        <v>576389.62</v>
      </c>
      <c r="S9">
        <v>680901.04</v>
      </c>
      <c r="T9">
        <v>691536.71</v>
      </c>
      <c r="U9">
        <v>389922.95</v>
      </c>
      <c r="V9" s="5">
        <f>SUM(D9:R9)</f>
      </c>
      <c r="W9" s="5">
        <f>SUM(S9:U9)</f>
      </c>
    </row>
    <row r="10">
      <c r="A10" t="str">
        <v>MT</v>
      </c>
      <c r="B10" t="str">
        <v>Dr. Sheth's</v>
      </c>
      <c r="C10" t="str">
        <v>ALL</v>
      </c>
      <c r="M10">
        <v>90146.46</v>
      </c>
      <c r="O10">
        <v>325833.44</v>
      </c>
      <c r="P10">
        <v>17621.13</v>
      </c>
      <c r="Q10">
        <v>6754.18</v>
      </c>
      <c r="R10">
        <v>611168.92</v>
      </c>
      <c r="S10">
        <v>336255.57</v>
      </c>
      <c r="T10">
        <v>199639.82</v>
      </c>
      <c r="U10">
        <v>79275.49</v>
      </c>
      <c r="V10" s="5">
        <f>SUM(D10:R10)</f>
      </c>
      <c r="W10" s="5">
        <f>SUM(S10:U10)</f>
      </c>
    </row>
    <row r="11">
      <c r="A11" t="str">
        <v>MT</v>
      </c>
      <c r="B11" t="str">
        <v>Mamaearth</v>
      </c>
      <c r="C11" t="str">
        <v>ALL</v>
      </c>
      <c r="D11">
        <v>149803964.7</v>
      </c>
      <c r="E11">
        <v>165315895.2</v>
      </c>
      <c r="F11">
        <v>149907530.9</v>
      </c>
      <c r="G11">
        <v>257340391.3</v>
      </c>
      <c r="H11">
        <v>192813514</v>
      </c>
      <c r="I11">
        <v>170932492.2</v>
      </c>
      <c r="J11">
        <v>199448213.6</v>
      </c>
      <c r="K11">
        <v>177609079.7</v>
      </c>
      <c r="L11">
        <v>181793937.8</v>
      </c>
      <c r="M11">
        <v>226585109.7</v>
      </c>
      <c r="N11">
        <v>264693571.9</v>
      </c>
      <c r="O11">
        <v>207056550.8</v>
      </c>
      <c r="P11">
        <v>269390763.2</v>
      </c>
      <c r="Q11">
        <v>207780883</v>
      </c>
      <c r="R11">
        <v>197799535.7</v>
      </c>
      <c r="S11">
        <v>315458343.6</v>
      </c>
      <c r="T11">
        <v>270292362.9</v>
      </c>
      <c r="U11">
        <v>288110627.2</v>
      </c>
      <c r="V11" s="5">
        <f>SUM(D11:R11)</f>
      </c>
      <c r="W11" s="5">
        <f>SUM(S11:U11)</f>
      </c>
    </row>
    <row r="12">
      <c r="A12" t="str">
        <v>MT</v>
      </c>
      <c r="B12" t="str">
        <v>Pure Origin</v>
      </c>
      <c r="C12" t="str">
        <v>ALL</v>
      </c>
      <c r="D12">
        <v>285881.05</v>
      </c>
      <c r="E12">
        <v>53251.12</v>
      </c>
      <c r="F12">
        <v>53482.32</v>
      </c>
      <c r="G12">
        <v>200229.45</v>
      </c>
      <c r="H12">
        <v>216677.5</v>
      </c>
      <c r="I12">
        <v>37775.13</v>
      </c>
      <c r="T12">
        <v>-31749.7</v>
      </c>
      <c r="V12" s="5">
        <f>SUM(D12:R12)</f>
      </c>
      <c r="W12" s="5">
        <f>SUM(S12:U12)</f>
      </c>
    </row>
    <row r="13">
      <c r="A13" t="str">
        <v>MT</v>
      </c>
      <c r="B13" t="str">
        <v>The Derma Co.</v>
      </c>
      <c r="C13" t="str">
        <v>ALL</v>
      </c>
      <c r="D13">
        <v>13875253.74</v>
      </c>
      <c r="E13">
        <v>16823552.56</v>
      </c>
      <c r="F13">
        <v>25084820.78</v>
      </c>
      <c r="G13">
        <v>25823924.71</v>
      </c>
      <c r="H13">
        <v>21274593.29</v>
      </c>
      <c r="I13">
        <v>24224601.67</v>
      </c>
      <c r="J13">
        <v>20254280.72</v>
      </c>
      <c r="K13">
        <v>22896344.08</v>
      </c>
      <c r="L13">
        <v>20050370.21</v>
      </c>
      <c r="M13">
        <v>22396071.44</v>
      </c>
      <c r="N13">
        <v>45552910.36</v>
      </c>
      <c r="O13">
        <v>54226597.04</v>
      </c>
      <c r="P13">
        <v>69787438.02</v>
      </c>
      <c r="Q13">
        <v>58884800.97</v>
      </c>
      <c r="R13">
        <v>66613720.17</v>
      </c>
      <c r="S13">
        <v>153663152.4</v>
      </c>
      <c r="T13">
        <v>137691834.6</v>
      </c>
      <c r="U13">
        <v>100258074.8</v>
      </c>
      <c r="V13" s="5">
        <f>SUM(D13:R13)</f>
      </c>
      <c r="W13" s="5">
        <f>SUM(S13:U13)</f>
      </c>
    </row>
    <row r="14">
      <c r="A14" t="str">
        <v>MT</v>
      </c>
      <c r="B14" t="str">
        <v>TOTAL</v>
      </c>
      <c r="C14" t="str">
        <v>ALL</v>
      </c>
      <c r="D14">
        <v>167306694.1</v>
      </c>
      <c r="E14">
        <v>189827025.9</v>
      </c>
      <c r="F14">
        <v>185071264.7</v>
      </c>
      <c r="G14">
        <v>292072996.2</v>
      </c>
      <c r="H14">
        <v>219892715.6</v>
      </c>
      <c r="I14">
        <v>199465270.1</v>
      </c>
      <c r="J14">
        <v>224328271.4</v>
      </c>
      <c r="K14">
        <v>202779531</v>
      </c>
      <c r="L14">
        <v>204022773.6</v>
      </c>
      <c r="M14">
        <v>252998101.4</v>
      </c>
      <c r="N14">
        <v>313956967.2</v>
      </c>
      <c r="O14">
        <v>264419888.5</v>
      </c>
      <c r="P14">
        <v>345275571.8</v>
      </c>
      <c r="Q14">
        <v>274970439.7</v>
      </c>
      <c r="R14">
        <v>274316035.3</v>
      </c>
      <c r="S14">
        <v>480033209.8</v>
      </c>
      <c r="T14">
        <v>423172802.4</v>
      </c>
      <c r="U14">
        <v>394140867.4</v>
      </c>
      <c r="V14" s="5">
        <f>SUM(D14:R14)</f>
      </c>
      <c r="W14" s="5">
        <f>SUM(S14:U14)</f>
      </c>
    </row>
    <row r="15">
      <c r="A15" t="str">
        <v>SIS</v>
      </c>
      <c r="B15" t="str">
        <v>Aqualogica</v>
      </c>
      <c r="C15" t="str">
        <v>ALL</v>
      </c>
      <c r="H15">
        <v>145362.3</v>
      </c>
      <c r="I15">
        <v>183656.42</v>
      </c>
      <c r="J15">
        <v>191757.41</v>
      </c>
      <c r="K15">
        <v>368095.54</v>
      </c>
      <c r="L15">
        <v>494495.59</v>
      </c>
      <c r="M15">
        <v>585470.39</v>
      </c>
      <c r="N15">
        <v>658178.92</v>
      </c>
      <c r="O15">
        <v>820009.24</v>
      </c>
      <c r="P15">
        <v>234904.46</v>
      </c>
      <c r="Q15">
        <v>467102.62</v>
      </c>
      <c r="R15">
        <v>251668.74</v>
      </c>
      <c r="S15">
        <v>-28298.28</v>
      </c>
      <c r="T15">
        <v>-18657.77</v>
      </c>
      <c r="U15">
        <v>408963.62</v>
      </c>
      <c r="V15" s="5">
        <f>SUM(D15:R15)</f>
      </c>
      <c r="W15" s="5">
        <f>SUM(S15:U15)</f>
      </c>
    </row>
    <row r="16">
      <c r="A16" t="str">
        <v>SIS</v>
      </c>
      <c r="B16" t="str">
        <v>BBLUNT</v>
      </c>
      <c r="C16" t="str">
        <v>ALL</v>
      </c>
      <c r="H16">
        <v>100639.49</v>
      </c>
      <c r="I16">
        <v>-13954.65</v>
      </c>
      <c r="J16">
        <v>192430.79</v>
      </c>
      <c r="K16">
        <v>106432.83</v>
      </c>
      <c r="L16">
        <v>699367.8</v>
      </c>
      <c r="M16">
        <v>-558228.18</v>
      </c>
      <c r="N16">
        <v>69174.32</v>
      </c>
      <c r="O16">
        <v>185283.55</v>
      </c>
      <c r="P16">
        <v>142293.01</v>
      </c>
      <c r="Q16">
        <v>81274.31</v>
      </c>
      <c r="S16">
        <v>-19875.02</v>
      </c>
      <c r="V16" s="5">
        <f>SUM(D16:R16)</f>
      </c>
      <c r="W16" s="5">
        <f>SUM(S16:U16)</f>
      </c>
    </row>
    <row r="17">
      <c r="A17" t="str">
        <v>SIS</v>
      </c>
      <c r="B17" t="str">
        <v>Dr. Sheth's</v>
      </c>
      <c r="C17" t="str">
        <v>ALL</v>
      </c>
      <c r="L17">
        <v>47719.56</v>
      </c>
      <c r="P17">
        <v>22164.44</v>
      </c>
      <c r="Q17">
        <v>57054.2</v>
      </c>
      <c r="R17">
        <v>13546.5</v>
      </c>
      <c r="V17" s="5">
        <f>SUM(D17:R17)</f>
      </c>
      <c r="W17" s="5">
        <f>SUM(S17:U17)</f>
      </c>
    </row>
    <row r="18">
      <c r="A18" t="str">
        <v>SIS</v>
      </c>
      <c r="B18" t="str">
        <v>Lumineve</v>
      </c>
      <c r="C18" t="str">
        <v>ALL</v>
      </c>
      <c r="S18">
        <v>769049.34</v>
      </c>
      <c r="V18" s="5">
        <f>SUM(D18:R18)</f>
      </c>
      <c r="W18" s="5">
        <f>SUM(S18:U18)</f>
      </c>
    </row>
    <row r="19">
      <c r="A19" t="str">
        <v>SIS</v>
      </c>
      <c r="B19" t="str">
        <v>Mamaearth</v>
      </c>
      <c r="C19" t="str">
        <v>ALL</v>
      </c>
      <c r="H19">
        <v>537548.94</v>
      </c>
      <c r="I19">
        <v>150398.67</v>
      </c>
      <c r="J19">
        <v>662207.6</v>
      </c>
      <c r="K19">
        <v>693481.77</v>
      </c>
      <c r="L19">
        <v>782501.55</v>
      </c>
      <c r="M19">
        <v>730186.09</v>
      </c>
      <c r="N19">
        <v>508870.36</v>
      </c>
      <c r="O19">
        <v>1172012.54</v>
      </c>
      <c r="P19">
        <v>333810.69</v>
      </c>
      <c r="Q19">
        <v>327523.67</v>
      </c>
      <c r="R19">
        <v>266861.1</v>
      </c>
      <c r="S19">
        <v>-33905.32</v>
      </c>
      <c r="T19">
        <v>56959.19</v>
      </c>
      <c r="U19">
        <v>495612.67</v>
      </c>
      <c r="V19" s="5">
        <f>SUM(D19:R19)</f>
      </c>
      <c r="W19" s="5">
        <f>SUM(S19:U19)</f>
      </c>
    </row>
    <row r="20">
      <c r="A20" t="str">
        <v>SIS</v>
      </c>
      <c r="B20" t="str">
        <v>Staze</v>
      </c>
      <c r="C20" t="str">
        <v>ALL</v>
      </c>
      <c r="H20">
        <v>4907.11</v>
      </c>
      <c r="I20">
        <v>277288.62</v>
      </c>
      <c r="K20">
        <v>105086.51</v>
      </c>
      <c r="L20">
        <v>89602.62</v>
      </c>
      <c r="M20">
        <v>99094.94</v>
      </c>
      <c r="N20">
        <v>82439.47</v>
      </c>
      <c r="P20">
        <v>31791.46</v>
      </c>
      <c r="Q20">
        <v>78996.54</v>
      </c>
      <c r="V20" s="5">
        <f>SUM(D20:R20)</f>
      </c>
      <c r="W20" s="5">
        <f>SUM(S20:U20)</f>
      </c>
    </row>
    <row r="21">
      <c r="A21" t="str">
        <v>SIS</v>
      </c>
      <c r="B21" t="str">
        <v>The Derma Co.</v>
      </c>
      <c r="C21" t="str">
        <v>ALL</v>
      </c>
      <c r="H21">
        <v>534948.19</v>
      </c>
      <c r="I21">
        <v>948048.43</v>
      </c>
      <c r="J21">
        <v>2497709.78</v>
      </c>
      <c r="K21">
        <v>917319.91</v>
      </c>
      <c r="L21">
        <v>1318889.58</v>
      </c>
      <c r="M21">
        <v>809801.09</v>
      </c>
      <c r="N21">
        <v>1354253.46</v>
      </c>
      <c r="O21">
        <v>1725242.55</v>
      </c>
      <c r="P21">
        <v>641483.04</v>
      </c>
      <c r="Q21">
        <v>1371398.91</v>
      </c>
      <c r="R21">
        <v>417298.94</v>
      </c>
      <c r="S21">
        <v>-43690.26</v>
      </c>
      <c r="T21">
        <v>104064.75</v>
      </c>
      <c r="U21">
        <v>1025604.68</v>
      </c>
      <c r="V21" s="5">
        <f>SUM(D21:R21)</f>
      </c>
      <c r="W21" s="5">
        <f>SUM(S21:U21)</f>
      </c>
    </row>
    <row r="22">
      <c r="A22" t="str">
        <v>SIS</v>
      </c>
      <c r="B22" t="str">
        <v>TOTAL</v>
      </c>
      <c r="C22" t="str">
        <v>ALL</v>
      </c>
      <c r="H22">
        <v>1323406.03</v>
      </c>
      <c r="I22">
        <v>1545437.49</v>
      </c>
      <c r="J22">
        <v>3544105.58</v>
      </c>
      <c r="K22">
        <v>2190416.56</v>
      </c>
      <c r="L22">
        <v>3432576.7</v>
      </c>
      <c r="M22">
        <v>1666324.33</v>
      </c>
      <c r="N22">
        <v>2672916.53</v>
      </c>
      <c r="O22">
        <v>3902547.88</v>
      </c>
      <c r="P22">
        <v>1406447.1</v>
      </c>
      <c r="Q22">
        <v>2383350.25</v>
      </c>
      <c r="R22">
        <v>949375.28</v>
      </c>
      <c r="S22">
        <v>643280.46</v>
      </c>
      <c r="T22">
        <v>142366.17</v>
      </c>
      <c r="U22">
        <v>1930180.97</v>
      </c>
      <c r="V22" s="5">
        <f>SUM(D22:R22)</f>
      </c>
      <c r="W22" s="5">
        <f>SUM(S22:U22)</f>
      </c>
    </row>
    <row r="23">
      <c r="A23" t="str">
        <v>ALL</v>
      </c>
      <c r="B23" t="str">
        <v>GRAND TOTAL</v>
      </c>
      <c r="C23" t="str">
        <v>ALL</v>
      </c>
      <c r="D23">
        <v>177307744</v>
      </c>
      <c r="E23">
        <v>202729725</v>
      </c>
      <c r="F23">
        <v>195031885.8</v>
      </c>
      <c r="G23">
        <v>317459756.7</v>
      </c>
      <c r="H23">
        <v>236689813.8</v>
      </c>
      <c r="I23">
        <v>218263715</v>
      </c>
      <c r="J23">
        <v>247290211.6</v>
      </c>
      <c r="K23">
        <v>216238697.1</v>
      </c>
      <c r="L23">
        <v>222375104.6</v>
      </c>
      <c r="M23">
        <v>267488568</v>
      </c>
      <c r="N23">
        <v>332933983.1</v>
      </c>
      <c r="O23">
        <v>282061210.9</v>
      </c>
      <c r="P23">
        <v>366540843.9</v>
      </c>
      <c r="Q23">
        <v>292494122</v>
      </c>
      <c r="R23">
        <v>290199870.7</v>
      </c>
      <c r="S23">
        <v>507685807.9</v>
      </c>
      <c r="T23">
        <v>441573960.6</v>
      </c>
      <c r="U23">
        <v>416737933.6</v>
      </c>
      <c r="V23" s="5">
        <f>SUM(D23:R23)</f>
      </c>
      <c r="W23" s="5">
        <f>SUM(S23:U23)</f>
      </c>
    </row>
    <row r="24">
      <c r="A24" t="str">
        <v>MT</v>
      </c>
      <c r="B24" t="str">
        <v>Mamaearth</v>
      </c>
      <c r="C24" t="str">
        <v>Face Cleanser</v>
      </c>
      <c r="D24">
        <v>46194661.02</v>
      </c>
      <c r="E24">
        <v>56127034.76</v>
      </c>
      <c r="F24">
        <v>64951494.84</v>
      </c>
      <c r="G24">
        <v>99473064.08</v>
      </c>
      <c r="H24">
        <v>77272667.01</v>
      </c>
      <c r="I24">
        <v>74664311.15</v>
      </c>
      <c r="J24">
        <v>76380069.53</v>
      </c>
      <c r="K24">
        <v>76812077.13</v>
      </c>
      <c r="L24">
        <v>63537421.91</v>
      </c>
      <c r="M24">
        <v>76141736.12</v>
      </c>
      <c r="N24">
        <v>79798260.08</v>
      </c>
      <c r="O24">
        <v>68143311.37</v>
      </c>
      <c r="P24">
        <v>90521443.87</v>
      </c>
      <c r="Q24">
        <v>79339321.39</v>
      </c>
      <c r="R24">
        <v>75744791.26</v>
      </c>
      <c r="S24">
        <v>125910071.8</v>
      </c>
      <c r="T24">
        <v>107399443.8</v>
      </c>
      <c r="U24">
        <v>125501131.1</v>
      </c>
      <c r="V24" s="5">
        <f>SUM(D24:R24)</f>
      </c>
      <c r="W24" s="5">
        <f>SUM(S24:U24)</f>
      </c>
    </row>
    <row r="25">
      <c r="A25" t="str">
        <v>MT</v>
      </c>
      <c r="B25" t="str">
        <v>Mamaearth</v>
      </c>
      <c r="C25" t="str">
        <v>Shampoo</v>
      </c>
      <c r="D25">
        <v>45282287.05</v>
      </c>
      <c r="E25">
        <v>40324893</v>
      </c>
      <c r="F25">
        <v>32051073.13</v>
      </c>
      <c r="G25">
        <v>69538820.38</v>
      </c>
      <c r="H25">
        <v>45371325.88</v>
      </c>
      <c r="I25">
        <v>50383574.33</v>
      </c>
      <c r="J25">
        <v>75080140.14</v>
      </c>
      <c r="K25">
        <v>54431987.2</v>
      </c>
      <c r="L25">
        <v>50998845.02</v>
      </c>
      <c r="M25">
        <v>52275513.75</v>
      </c>
      <c r="N25">
        <v>65365380.71</v>
      </c>
      <c r="O25">
        <v>64222502.13</v>
      </c>
      <c r="P25">
        <v>87142707.43</v>
      </c>
      <c r="Q25">
        <v>51965856.73</v>
      </c>
      <c r="R25">
        <v>56941124</v>
      </c>
      <c r="S25">
        <v>87523633.81</v>
      </c>
      <c r="T25">
        <v>83550868.53</v>
      </c>
      <c r="U25">
        <v>83972398.12</v>
      </c>
      <c r="V25" s="5">
        <f>SUM(D25:R25)</f>
      </c>
      <c r="W25" s="5">
        <f>SUM(S25:U25)</f>
      </c>
    </row>
    <row r="26">
      <c r="A26" t="str">
        <v>MT</v>
      </c>
      <c r="B26" t="str">
        <v>Mamaearth</v>
      </c>
      <c r="C26" t="str">
        <v>Sun Care</v>
      </c>
      <c r="D26">
        <v>5858236.09</v>
      </c>
      <c r="E26">
        <v>20804602.88</v>
      </c>
      <c r="F26">
        <v>23120556.38</v>
      </c>
      <c r="G26">
        <v>36685820.39</v>
      </c>
      <c r="H26">
        <v>19722492.38</v>
      </c>
      <c r="I26">
        <v>5289671.43</v>
      </c>
      <c r="J26">
        <v>3561153.92</v>
      </c>
      <c r="K26">
        <v>5212750.19</v>
      </c>
      <c r="L26">
        <v>4605244.13</v>
      </c>
      <c r="M26">
        <v>10549278.95</v>
      </c>
      <c r="N26">
        <v>7200744.18</v>
      </c>
      <c r="O26">
        <v>4890644.15</v>
      </c>
      <c r="P26">
        <v>19012586.3</v>
      </c>
      <c r="Q26">
        <v>41135924.33</v>
      </c>
      <c r="R26">
        <v>35840555.36</v>
      </c>
      <c r="S26">
        <v>49767883.76</v>
      </c>
      <c r="T26">
        <v>27092195.59</v>
      </c>
      <c r="U26">
        <v>17910786.96</v>
      </c>
      <c r="V26" s="5">
        <f>SUM(D26:R26)</f>
      </c>
      <c r="W26" s="5">
        <f>SUM(S26:U26)</f>
      </c>
    </row>
    <row r="27">
      <c r="A27" t="str">
        <v>MT</v>
      </c>
      <c r="B27" t="str">
        <v>Mamaearth</v>
      </c>
      <c r="C27" t="str">
        <v>Body Lotion</v>
      </c>
      <c r="D27">
        <v>5211663.65</v>
      </c>
      <c r="E27">
        <v>8330918.84</v>
      </c>
      <c r="F27">
        <v>8671591.38</v>
      </c>
      <c r="G27">
        <v>8366464.36</v>
      </c>
      <c r="H27">
        <v>5337245.31</v>
      </c>
      <c r="I27">
        <v>2497932.91</v>
      </c>
      <c r="J27">
        <v>6901853.74</v>
      </c>
      <c r="K27">
        <v>14493485.32</v>
      </c>
      <c r="L27">
        <v>28942682.07</v>
      </c>
      <c r="M27">
        <v>37538290.98</v>
      </c>
      <c r="N27">
        <v>52679478.39</v>
      </c>
      <c r="O27">
        <v>33257954.57</v>
      </c>
      <c r="P27">
        <v>17062680.31</v>
      </c>
      <c r="Q27">
        <v>7182847.38</v>
      </c>
      <c r="R27">
        <v>5569653.33</v>
      </c>
      <c r="S27">
        <v>7670575.1</v>
      </c>
      <c r="T27">
        <v>8612014.11</v>
      </c>
      <c r="U27">
        <v>10981967.19</v>
      </c>
      <c r="V27" s="5">
        <f>SUM(D27:R27)</f>
      </c>
      <c r="W27" s="5">
        <f>SUM(S27:U27)</f>
      </c>
    </row>
    <row r="28">
      <c r="A28" t="str">
        <v>MT</v>
      </c>
      <c r="B28" t="str">
        <v>The Derma Co.</v>
      </c>
      <c r="C28" t="str">
        <v>Face Cleanser</v>
      </c>
      <c r="D28">
        <v>2219408.84</v>
      </c>
      <c r="E28">
        <v>3192998.41</v>
      </c>
      <c r="F28">
        <v>4707407.59</v>
      </c>
      <c r="G28">
        <v>3677761.82</v>
      </c>
      <c r="H28">
        <v>4382041.99</v>
      </c>
      <c r="I28">
        <v>6395396.28</v>
      </c>
      <c r="J28">
        <v>5929195.69</v>
      </c>
      <c r="K28">
        <v>8271544.13</v>
      </c>
      <c r="L28">
        <v>9936918.41</v>
      </c>
      <c r="M28">
        <v>8720417.13</v>
      </c>
      <c r="N28">
        <v>15889557.28</v>
      </c>
      <c r="O28">
        <v>33316940.29</v>
      </c>
      <c r="P28">
        <v>46724877.47</v>
      </c>
      <c r="Q28">
        <v>34386658.16</v>
      </c>
      <c r="R28">
        <v>29383258.26</v>
      </c>
      <c r="S28">
        <v>78334502.45</v>
      </c>
      <c r="T28">
        <v>66297639.15</v>
      </c>
      <c r="U28">
        <v>64231092.71</v>
      </c>
      <c r="V28" s="5">
        <f>SUM(D28:R28)</f>
      </c>
      <c r="W28" s="5">
        <f>SUM(S28:U28)</f>
      </c>
    </row>
    <row r="29">
      <c r="A29" t="str">
        <v>MT</v>
      </c>
      <c r="B29" t="str">
        <v>The Derma Co.</v>
      </c>
      <c r="C29" t="str">
        <v>Sun Care</v>
      </c>
      <c r="D29">
        <v>4242501.66</v>
      </c>
      <c r="E29">
        <v>5817853.24</v>
      </c>
      <c r="F29">
        <v>12038233.75</v>
      </c>
      <c r="G29">
        <v>14096142.43</v>
      </c>
      <c r="H29">
        <v>9226252.12</v>
      </c>
      <c r="I29">
        <v>7209587.58</v>
      </c>
      <c r="J29">
        <v>6686836.07</v>
      </c>
      <c r="K29">
        <v>7864771.23</v>
      </c>
      <c r="L29">
        <v>4767971.75</v>
      </c>
      <c r="M29">
        <v>6675187.33</v>
      </c>
      <c r="N29">
        <v>13940709.6</v>
      </c>
      <c r="O29">
        <v>11421620.62</v>
      </c>
      <c r="P29">
        <v>12374181.8</v>
      </c>
      <c r="Q29">
        <v>17032832.04</v>
      </c>
      <c r="R29">
        <v>29006719.73</v>
      </c>
      <c r="S29">
        <v>63661661.61</v>
      </c>
      <c r="T29">
        <v>55844800.17</v>
      </c>
      <c r="U29">
        <v>18019001.37</v>
      </c>
      <c r="V29" s="5">
        <f>SUM(D29:R29)</f>
      </c>
      <c r="W29" s="5">
        <f>SUM(S29:U29)</f>
      </c>
    </row>
    <row r="30">
      <c r="A30" t="str">
        <v>MT</v>
      </c>
      <c r="B30" t="str">
        <v>The Derma Co.</v>
      </c>
      <c r="C30" t="str">
        <v>Face Serum</v>
      </c>
      <c r="D30">
        <v>5539931.18</v>
      </c>
      <c r="E30">
        <v>5877138.98</v>
      </c>
      <c r="F30">
        <v>6351388.77</v>
      </c>
      <c r="G30">
        <v>6541088.59</v>
      </c>
      <c r="H30">
        <v>6116048.5</v>
      </c>
      <c r="I30">
        <v>8024559.4</v>
      </c>
      <c r="J30">
        <v>5937225.63</v>
      </c>
      <c r="K30">
        <v>5708947.87</v>
      </c>
      <c r="L30">
        <v>3741171.65</v>
      </c>
      <c r="M30">
        <v>5549225.7</v>
      </c>
      <c r="N30">
        <v>12699401.31</v>
      </c>
      <c r="O30">
        <v>7830136.18</v>
      </c>
      <c r="P30">
        <v>7880455.24</v>
      </c>
      <c r="Q30">
        <v>5841192.76</v>
      </c>
      <c r="R30">
        <v>6314480.63</v>
      </c>
      <c r="S30">
        <v>9561112.54</v>
      </c>
      <c r="T30">
        <v>11279472.1</v>
      </c>
      <c r="U30">
        <v>9455186.51</v>
      </c>
      <c r="V30" s="5">
        <f>SUM(D30:R30)</f>
      </c>
      <c r="W30" s="5">
        <f>SUM(S30:U30)</f>
      </c>
    </row>
    <row r="31">
      <c r="A31" t="str">
        <v>MT</v>
      </c>
      <c r="B31" t="str">
        <v>Aqualogica</v>
      </c>
      <c r="C31" t="str">
        <v>Sun Care</v>
      </c>
      <c r="D31">
        <v>1136315.35</v>
      </c>
      <c r="E31">
        <v>4481758.76</v>
      </c>
      <c r="F31">
        <v>9065756.47</v>
      </c>
      <c r="G31">
        <v>6952876.09</v>
      </c>
      <c r="H31">
        <v>3670997.73</v>
      </c>
      <c r="I31">
        <v>2343179.75</v>
      </c>
      <c r="J31">
        <v>2181601.9</v>
      </c>
      <c r="K31">
        <v>1432073.63</v>
      </c>
      <c r="L31">
        <v>1407570.17</v>
      </c>
      <c r="M31">
        <v>2431705.7</v>
      </c>
      <c r="N31">
        <v>1451922.8</v>
      </c>
      <c r="O31">
        <v>2563808.8</v>
      </c>
      <c r="P31">
        <v>4344066.82</v>
      </c>
      <c r="Q31">
        <v>7611355.23</v>
      </c>
      <c r="R31">
        <v>8394645.17</v>
      </c>
      <c r="S31">
        <v>9231600.6</v>
      </c>
      <c r="T31">
        <v>13362861.8</v>
      </c>
      <c r="U31">
        <v>4320952.05</v>
      </c>
      <c r="V31" s="5">
        <f>SUM(D31:R31)</f>
      </c>
      <c r="W31" s="5">
        <f>SUM(S31:U31)</f>
      </c>
    </row>
  </sheetData>
  <ignoredErrors>
    <ignoredError numberStoredAsText="1" sqref="A1:W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READ_ME</vt:lpstr>
      <vt:lpstr>KPI_Dashboard</vt:lpstr>
      <vt:lpstr>Q1_FY27_Scorecard</vt:lpstr>
      <vt:lpstr>Zone_Summary</vt:lpstr>
      <vt:lpstr>Chain_Summary</vt:lpstr>
      <vt:lpstr>Brand_SubCat_Summary</vt:lpstr>
      <vt:lpstr>Primary_Summary</vt:lpstr>
      <vt:lpstr>May26_External_Workings</vt:lpstr>
      <vt:lpstr>Slide_Map</vt:lpstr>
      <vt:lpstr>Offtake_Chain_Zone</vt:lpstr>
      <vt:lpstr>Offtake_Brand_SubCat_Zone</vt:lpstr>
      <vt:lpstr>Primary_Zone_Chain</vt:lpstr>
      <vt:lpstr>Primary_Brand_Monthly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