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Data" sheetId="1" state="visible" r:id="rId1"/>
    <sheet name="Mapping" sheetId="2" state="visible" r:id="rId2"/>
    <sheet name="Summary" sheetId="3" state="visible" r:id="rId3"/>
    <sheet name="Chart" sheetId="4" state="visible" r:id="rId4"/>
    <sheet name="Q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6FB2"/>
      </patternFill>
    </fill>
    <fill>
      <patternFill patternType="solid">
        <fgColor rgb="00FFF3CD"/>
      </patternFill>
    </fill>
    <fill>
      <patternFill patternType="solid">
        <fgColor rgb="001250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" fillId="4" borderId="1" pivotButton="0" quotePrefix="0" xfId="0"/>
    <xf numFmtId="0" fontId="1" fillId="4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MT Total Sales by Quarter (Q1-24 -&gt; Q1-26)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'Summary'!$C$1:$K$1</f>
            </numRef>
          </cat>
          <val>
            <numRef>
              <f>'Summary'!$C$17:$K$17</f>
            </numRef>
          </val>
          <smooth val="0"/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(INR Cr / units as per source)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34" customWidth="1" min="17" max="17"/>
  </cols>
  <sheetData>
    <row r="1">
      <c r="A1" s="1" t="inlineStr">
        <is>
          <t>Format</t>
        </is>
      </c>
      <c r="B1" s="1" t="inlineStr">
        <is>
          <t>Summary Bucket</t>
        </is>
      </c>
      <c r="C1" s="1" t="inlineStr">
        <is>
          <t>Chain (source)</t>
        </is>
      </c>
      <c r="D1" s="1" t="inlineStr">
        <is>
          <t>Jun-25</t>
        </is>
      </c>
      <c r="E1" s="1" t="inlineStr">
        <is>
          <t>Jul-25</t>
        </is>
      </c>
      <c r="F1" s="1" t="inlineStr">
        <is>
          <t>Aug-25</t>
        </is>
      </c>
      <c r="G1" s="1" t="inlineStr">
        <is>
          <t>Sep-25</t>
        </is>
      </c>
      <c r="H1" s="1" t="inlineStr">
        <is>
          <t>Oct-25</t>
        </is>
      </c>
      <c r="I1" s="1" t="inlineStr">
        <is>
          <t>Nov-25</t>
        </is>
      </c>
      <c r="J1" s="1" t="inlineStr">
        <is>
          <t>Dec-25</t>
        </is>
      </c>
      <c r="K1" s="1" t="inlineStr">
        <is>
          <t>Jan-26</t>
        </is>
      </c>
      <c r="L1" s="1" t="inlineStr">
        <is>
          <t>Feb-26</t>
        </is>
      </c>
      <c r="M1" s="1" t="inlineStr">
        <is>
          <t>Mar-26</t>
        </is>
      </c>
      <c r="N1" s="1" t="inlineStr">
        <is>
          <t>Apr-26</t>
        </is>
      </c>
      <c r="O1" s="1" t="inlineStr">
        <is>
          <t>May-26</t>
        </is>
      </c>
      <c r="P1" s="1" t="inlineStr">
        <is>
          <t>Jun-26</t>
        </is>
      </c>
      <c r="Q1" s="1" t="inlineStr">
        <is>
          <t>Remarks</t>
        </is>
      </c>
    </row>
    <row r="2">
      <c r="A2" t="inlineStr">
        <is>
          <t>Hyper/Super</t>
        </is>
      </c>
      <c r="B2" t="inlineStr">
        <is>
          <t>D-Mart</t>
        </is>
      </c>
      <c r="C2" t="inlineStr">
        <is>
          <t>Dmart</t>
        </is>
      </c>
      <c r="D2" s="2" t="n">
        <v>856</v>
      </c>
      <c r="E2" s="2" t="n">
        <v>780</v>
      </c>
      <c r="F2" s="2" t="n">
        <v>801</v>
      </c>
      <c r="G2" s="2" t="n">
        <v>723</v>
      </c>
      <c r="H2" s="2" t="n">
        <v>993</v>
      </c>
      <c r="I2" s="2" t="n">
        <v>967</v>
      </c>
      <c r="J2" s="2" t="n">
        <v>943</v>
      </c>
      <c r="K2" s="2" t="n">
        <v>967</v>
      </c>
      <c r="L2" s="2" t="n">
        <v>928</v>
      </c>
      <c r="M2" s="2" t="n">
        <v>1226</v>
      </c>
      <c r="N2" s="2" t="n">
        <v>1258</v>
      </c>
      <c r="O2" s="2" t="n">
        <v>1518</v>
      </c>
      <c r="P2" s="2" t="n">
        <v>1412</v>
      </c>
      <c r="Q2" t="inlineStr"/>
    </row>
    <row r="3">
      <c r="A3" t="inlineStr">
        <is>
          <t>Hyper/Super</t>
        </is>
      </c>
      <c r="B3" t="inlineStr">
        <is>
          <t>Reliance</t>
        </is>
      </c>
      <c r="C3" t="inlineStr">
        <is>
          <t>Reliance</t>
        </is>
      </c>
      <c r="D3" s="2" t="n">
        <v>592</v>
      </c>
      <c r="E3" s="2" t="n">
        <v>557</v>
      </c>
      <c r="F3" s="2" t="n">
        <v>769</v>
      </c>
      <c r="G3" s="2" t="n">
        <v>543</v>
      </c>
      <c r="H3" s="2" t="n">
        <v>667</v>
      </c>
      <c r="I3" s="2" t="n">
        <v>679</v>
      </c>
      <c r="J3" s="2" t="n">
        <v>716</v>
      </c>
      <c r="K3" s="2" t="n">
        <v>900</v>
      </c>
      <c r="L3" s="2" t="n">
        <v>757</v>
      </c>
      <c r="M3" s="2" t="n">
        <v>805</v>
      </c>
      <c r="N3" s="2" t="n">
        <v>868</v>
      </c>
      <c r="O3" s="2" t="n">
        <v>990</v>
      </c>
      <c r="P3" s="2" t="n"/>
      <c r="Q3" t="inlineStr">
        <is>
          <t>Jun-26 pending</t>
        </is>
      </c>
    </row>
    <row r="4">
      <c r="A4" t="inlineStr">
        <is>
          <t>Hyper/Super</t>
        </is>
      </c>
      <c r="B4" t="inlineStr">
        <is>
          <t>Lulu</t>
        </is>
      </c>
      <c r="C4" t="inlineStr">
        <is>
          <t>Lulu</t>
        </is>
      </c>
      <c r="D4" s="2" t="n">
        <v>44</v>
      </c>
      <c r="E4" s="2" t="n">
        <v>47</v>
      </c>
      <c r="F4" s="2" t="n">
        <v>53</v>
      </c>
      <c r="G4" s="2" t="n">
        <v>53</v>
      </c>
      <c r="H4" s="2" t="n">
        <v>65</v>
      </c>
      <c r="I4" s="2" t="n">
        <v>70</v>
      </c>
      <c r="J4" s="2" t="n">
        <v>86</v>
      </c>
      <c r="K4" s="2" t="n">
        <v>103</v>
      </c>
      <c r="L4" s="2" t="n">
        <v>70</v>
      </c>
      <c r="M4" s="2" t="n">
        <v>78</v>
      </c>
      <c r="N4" s="2" t="n">
        <v>101</v>
      </c>
      <c r="O4" s="2" t="n">
        <v>116</v>
      </c>
      <c r="P4" s="2" t="n">
        <v>116</v>
      </c>
      <c r="Q4" t="inlineStr"/>
    </row>
    <row r="5">
      <c r="A5" t="inlineStr">
        <is>
          <t>Hyper/Super</t>
        </is>
      </c>
      <c r="B5" t="inlineStr">
        <is>
          <t>More</t>
        </is>
      </c>
      <c r="C5" t="inlineStr">
        <is>
          <t>More Retail</t>
        </is>
      </c>
      <c r="D5" s="2" t="n">
        <v>34</v>
      </c>
      <c r="E5" s="2" t="n">
        <v>35</v>
      </c>
      <c r="F5" s="2" t="n">
        <v>34</v>
      </c>
      <c r="G5" s="2" t="n">
        <v>34</v>
      </c>
      <c r="H5" s="2" t="n">
        <v>41</v>
      </c>
      <c r="I5" s="2" t="n">
        <v>41</v>
      </c>
      <c r="J5" s="2" t="n">
        <v>41</v>
      </c>
      <c r="K5" s="2" t="n">
        <v>39</v>
      </c>
      <c r="L5" s="2" t="n">
        <v>39</v>
      </c>
      <c r="M5" s="2" t="n">
        <v>45</v>
      </c>
      <c r="N5" s="2" t="n">
        <v>45</v>
      </c>
      <c r="O5" s="2" t="n">
        <v>55</v>
      </c>
      <c r="P5" s="2" t="n"/>
      <c r="Q5" t="inlineStr">
        <is>
          <t>Jun-26 pending</t>
        </is>
      </c>
    </row>
    <row r="6">
      <c r="A6" t="inlineStr">
        <is>
          <t>Hyper/Super</t>
        </is>
      </c>
      <c r="B6" t="inlineStr">
        <is>
          <t>HS-Others</t>
        </is>
      </c>
      <c r="C6" t="inlineStr">
        <is>
          <t>Spencer</t>
        </is>
      </c>
      <c r="D6" s="2" t="n">
        <v>15</v>
      </c>
      <c r="E6" s="2" t="n">
        <v>14</v>
      </c>
      <c r="F6" s="2" t="n">
        <v>10</v>
      </c>
      <c r="G6" s="2" t="n">
        <v>10</v>
      </c>
      <c r="H6" s="2" t="n">
        <v>10</v>
      </c>
      <c r="I6" s="2" t="n">
        <v>11</v>
      </c>
      <c r="J6" s="2" t="n">
        <v>22</v>
      </c>
      <c r="K6" s="2" t="n">
        <v>13</v>
      </c>
      <c r="L6" s="2" t="n">
        <v>14</v>
      </c>
      <c r="M6" s="2" t="n">
        <v>12</v>
      </c>
      <c r="N6" s="2" t="n">
        <v>12</v>
      </c>
      <c r="O6" s="2" t="n">
        <v>12</v>
      </c>
      <c r="P6" s="2" t="n"/>
      <c r="Q6" t="inlineStr">
        <is>
          <t>Jun-26 pending</t>
        </is>
      </c>
    </row>
    <row r="7">
      <c r="A7" t="inlineStr">
        <is>
          <t>Hyper/Super</t>
        </is>
      </c>
      <c r="B7" t="inlineStr">
        <is>
          <t>HS-Others</t>
        </is>
      </c>
      <c r="C7" t="inlineStr">
        <is>
          <t>Vmm</t>
        </is>
      </c>
      <c r="D7" s="2" t="n">
        <v>12</v>
      </c>
      <c r="E7" s="2" t="n">
        <v>13</v>
      </c>
      <c r="F7" s="2" t="n">
        <v>11</v>
      </c>
      <c r="G7" s="2" t="n">
        <v>9</v>
      </c>
      <c r="H7" s="2" t="n">
        <v>6</v>
      </c>
      <c r="I7" s="2" t="n">
        <v>3</v>
      </c>
      <c r="J7" s="2" t="n">
        <v>10</v>
      </c>
      <c r="K7" s="2" t="n">
        <v>17</v>
      </c>
      <c r="L7" s="2" t="n">
        <v>14</v>
      </c>
      <c r="M7" s="2" t="n">
        <v>25</v>
      </c>
      <c r="N7" s="2" t="n">
        <v>28</v>
      </c>
      <c r="O7" s="2" t="n">
        <v>31</v>
      </c>
      <c r="P7" s="2" t="n">
        <v>28</v>
      </c>
      <c r="Q7" t="inlineStr"/>
    </row>
    <row r="8">
      <c r="A8" t="inlineStr">
        <is>
          <t>Hyper/Super</t>
        </is>
      </c>
      <c r="B8" t="inlineStr">
        <is>
          <t>HS-Others</t>
        </is>
      </c>
      <c r="C8" t="inlineStr">
        <is>
          <t>V-Mart</t>
        </is>
      </c>
      <c r="D8" s="2" t="n">
        <v>3</v>
      </c>
      <c r="E8" s="2" t="n">
        <v>1</v>
      </c>
      <c r="F8" s="2" t="n">
        <v>2</v>
      </c>
      <c r="G8" s="2" t="n">
        <v>2</v>
      </c>
      <c r="H8" s="2" t="n">
        <v>1</v>
      </c>
      <c r="I8" s="2" t="n">
        <v>20</v>
      </c>
      <c r="J8" s="2" t="n">
        <v>19</v>
      </c>
      <c r="K8" s="2" t="n">
        <v>14</v>
      </c>
      <c r="L8" s="2" t="n">
        <v>15</v>
      </c>
      <c r="M8" s="2" t="n">
        <v>18</v>
      </c>
      <c r="N8" s="2" t="n">
        <v>15</v>
      </c>
      <c r="O8" s="2" t="n">
        <v>10</v>
      </c>
      <c r="P8" s="2" t="n">
        <v>13</v>
      </c>
      <c r="Q8" t="inlineStr"/>
    </row>
    <row r="9">
      <c r="A9" t="inlineStr">
        <is>
          <t>Hyper/Super</t>
        </is>
      </c>
      <c r="B9" t="inlineStr">
        <is>
          <t>HS-Others</t>
        </is>
      </c>
      <c r="C9" t="inlineStr">
        <is>
          <t>Trent</t>
        </is>
      </c>
      <c r="D9" s="2" t="n">
        <v>4</v>
      </c>
      <c r="E9" s="2" t="n">
        <v>4</v>
      </c>
      <c r="F9" s="2" t="n">
        <v>6</v>
      </c>
      <c r="G9" s="2" t="n">
        <v>5</v>
      </c>
      <c r="H9" s="2" t="n">
        <v>5</v>
      </c>
      <c r="I9" s="2" t="n">
        <v>6</v>
      </c>
      <c r="J9" s="2" t="n">
        <v>5</v>
      </c>
      <c r="K9" s="2" t="n">
        <v>6</v>
      </c>
      <c r="L9" s="2" t="n">
        <v>4</v>
      </c>
      <c r="M9" s="2" t="n">
        <v>6</v>
      </c>
      <c r="N9" s="2" t="n">
        <v>7</v>
      </c>
      <c r="O9" s="2" t="n">
        <v>8</v>
      </c>
      <c r="P9" s="2" t="n"/>
      <c r="Q9" t="inlineStr">
        <is>
          <t>Jun-26 pending</t>
        </is>
      </c>
    </row>
    <row r="10">
      <c r="A10" t="inlineStr">
        <is>
          <t>Hyper/Super</t>
        </is>
      </c>
      <c r="B10" t="inlineStr">
        <is>
          <t>HS-Others</t>
        </is>
      </c>
      <c r="C10" t="inlineStr">
        <is>
          <t>Spar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t="inlineStr">
        <is>
          <t>ASSUMED map-&gt;HS-Others: not in mapping sheet - confirm</t>
        </is>
      </c>
    </row>
    <row r="11">
      <c r="A11" t="inlineStr">
        <is>
          <t>Pharmacy</t>
        </is>
      </c>
      <c r="B11" t="inlineStr">
        <is>
          <t>Apollo</t>
        </is>
      </c>
      <c r="C11" t="inlineStr">
        <is>
          <t>Apollo</t>
        </is>
      </c>
      <c r="D11" s="2" t="n">
        <v>275</v>
      </c>
      <c r="E11" s="2" t="n">
        <v>287</v>
      </c>
      <c r="F11" s="2" t="n">
        <v>327</v>
      </c>
      <c r="G11" s="2" t="n">
        <v>306</v>
      </c>
      <c r="H11" s="2" t="n">
        <v>430</v>
      </c>
      <c r="I11" s="2" t="n">
        <v>555</v>
      </c>
      <c r="J11" s="2" t="n">
        <v>567</v>
      </c>
      <c r="K11" s="2" t="n">
        <v>534</v>
      </c>
      <c r="L11" s="2" t="n">
        <v>511</v>
      </c>
      <c r="M11" s="2" t="n">
        <v>570</v>
      </c>
      <c r="N11" s="2" t="n">
        <v>699</v>
      </c>
      <c r="O11" s="2" t="n">
        <v>751</v>
      </c>
      <c r="P11" s="2" t="n"/>
      <c r="Q11" t="inlineStr">
        <is>
          <t>Jun-26 pending</t>
        </is>
      </c>
    </row>
    <row r="12">
      <c r="A12" t="inlineStr">
        <is>
          <t>Pharmacy</t>
        </is>
      </c>
      <c r="B12" t="inlineStr">
        <is>
          <t>Wellness</t>
        </is>
      </c>
      <c r="C12" t="inlineStr">
        <is>
          <t>Wellness Forever</t>
        </is>
      </c>
      <c r="D12" s="2" t="n">
        <v>74</v>
      </c>
      <c r="E12" s="2" t="n">
        <v>72</v>
      </c>
      <c r="F12" s="2" t="n">
        <v>73</v>
      </c>
      <c r="G12" s="2" t="n">
        <v>66</v>
      </c>
      <c r="H12" s="2" t="n">
        <v>89</v>
      </c>
      <c r="I12" s="2" t="n">
        <v>94</v>
      </c>
      <c r="J12" s="2" t="n">
        <v>88</v>
      </c>
      <c r="K12" s="2" t="n">
        <v>82</v>
      </c>
      <c r="L12" s="2" t="n">
        <v>86</v>
      </c>
      <c r="M12" s="2" t="n">
        <v>98</v>
      </c>
      <c r="N12" s="2" t="n">
        <v>110</v>
      </c>
      <c r="O12" s="2" t="n">
        <v>102</v>
      </c>
      <c r="P12" s="2" t="n">
        <v>80</v>
      </c>
      <c r="Q12" t="inlineStr"/>
    </row>
    <row r="13">
      <c r="A13" t="inlineStr">
        <is>
          <t>Pharmacy</t>
        </is>
      </c>
      <c r="B13" t="inlineStr">
        <is>
          <t>Drug-Others</t>
        </is>
      </c>
      <c r="C13" t="inlineStr">
        <is>
          <t>Frankros</t>
        </is>
      </c>
      <c r="D13" s="2" t="n">
        <v>1</v>
      </c>
      <c r="E13" s="2" t="n">
        <v>1</v>
      </c>
      <c r="F13" s="2" t="n">
        <v>1</v>
      </c>
      <c r="G13" s="2" t="n">
        <v>1</v>
      </c>
      <c r="H13" s="2" t="n">
        <v>1</v>
      </c>
      <c r="I13" s="2" t="n">
        <v>3</v>
      </c>
      <c r="J13" s="2" t="n">
        <v>3</v>
      </c>
      <c r="K13" s="2" t="n">
        <v>4</v>
      </c>
      <c r="L13" s="2" t="n">
        <v>3</v>
      </c>
      <c r="M13" s="2" t="n">
        <v>3</v>
      </c>
      <c r="N13" s="2" t="n">
        <v>4</v>
      </c>
      <c r="O13" s="2" t="n">
        <v>10</v>
      </c>
      <c r="P13" s="2" t="n">
        <v>7</v>
      </c>
      <c r="Q13" t="inlineStr"/>
    </row>
    <row r="14">
      <c r="A14" t="inlineStr">
        <is>
          <t>Pharmacy</t>
        </is>
      </c>
      <c r="B14" t="inlineStr">
        <is>
          <t>Drug-Others</t>
        </is>
      </c>
      <c r="C14" t="inlineStr">
        <is>
          <t>Arambagh</t>
        </is>
      </c>
      <c r="D14" s="2" t="n">
        <v>1</v>
      </c>
      <c r="E14" s="2" t="n">
        <v>1</v>
      </c>
      <c r="F14" s="2" t="n">
        <v>1</v>
      </c>
      <c r="G14" s="2" t="n">
        <v>3</v>
      </c>
      <c r="H14" s="2" t="n">
        <v>3</v>
      </c>
      <c r="I14" s="2" t="n">
        <v>1</v>
      </c>
      <c r="J14" s="2" t="n">
        <v>2</v>
      </c>
      <c r="K14" s="2" t="n">
        <v>2</v>
      </c>
      <c r="L14" s="2" t="n">
        <v>2</v>
      </c>
      <c r="M14" s="2" t="n">
        <v>3</v>
      </c>
      <c r="N14" s="2" t="n">
        <v>7</v>
      </c>
      <c r="O14" s="2" t="n">
        <v>5</v>
      </c>
      <c r="P14" s="2" t="n"/>
      <c r="Q14" t="inlineStr">
        <is>
          <t>Jun-26 pending</t>
        </is>
      </c>
    </row>
    <row r="15">
      <c r="A15" t="inlineStr">
        <is>
          <t>Pharmacy</t>
        </is>
      </c>
      <c r="B15" t="inlineStr">
        <is>
          <t>Drug-Others</t>
        </is>
      </c>
      <c r="C15" t="inlineStr">
        <is>
          <t>Guardian</t>
        </is>
      </c>
      <c r="D15" s="2" t="n">
        <v>1</v>
      </c>
      <c r="E15" s="2" t="n">
        <v>1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2</v>
      </c>
      <c r="K15" s="2" t="n">
        <v>2</v>
      </c>
      <c r="L15" s="2" t="n">
        <v>2</v>
      </c>
      <c r="M15" s="2" t="n">
        <v>2</v>
      </c>
      <c r="N15" s="2" t="n">
        <v>2</v>
      </c>
      <c r="O15" s="2" t="n">
        <v>2</v>
      </c>
      <c r="P15" s="2" t="n">
        <v>2</v>
      </c>
      <c r="Q15" t="inlineStr"/>
    </row>
    <row r="16">
      <c r="A16" t="inlineStr">
        <is>
          <t>Regional</t>
        </is>
      </c>
      <c r="B16" t="inlineStr">
        <is>
          <t>Regional</t>
        </is>
      </c>
      <c r="C16" t="inlineStr">
        <is>
          <t>Sancus(Rmt)</t>
        </is>
      </c>
      <c r="D16" s="2" t="n">
        <v>36</v>
      </c>
      <c r="E16" s="2" t="n">
        <v>41</v>
      </c>
      <c r="F16" s="2" t="n">
        <v>30</v>
      </c>
      <c r="G16" s="2" t="n">
        <v>47</v>
      </c>
      <c r="H16" s="2" t="n">
        <v>30</v>
      </c>
      <c r="I16" s="2" t="n">
        <v>33</v>
      </c>
      <c r="J16" s="2" t="n">
        <v>54</v>
      </c>
      <c r="K16" s="2" t="n">
        <v>35</v>
      </c>
      <c r="L16" s="2" t="n">
        <v>28</v>
      </c>
      <c r="M16" s="2" t="n">
        <v>42</v>
      </c>
      <c r="N16" s="2" t="n">
        <v>58</v>
      </c>
      <c r="O16" s="2" t="n">
        <v>46</v>
      </c>
      <c r="P16" s="2" t="n">
        <v>40</v>
      </c>
      <c r="Q16" t="inlineStr"/>
    </row>
    <row r="17">
      <c r="A17" t="inlineStr">
        <is>
          <t>Regional</t>
        </is>
      </c>
      <c r="B17" t="inlineStr">
        <is>
          <t>Regional</t>
        </is>
      </c>
      <c r="C17" t="inlineStr">
        <is>
          <t>Ratandeep</t>
        </is>
      </c>
      <c r="D17" s="2" t="n">
        <v>7</v>
      </c>
      <c r="E17" s="2" t="n">
        <v>11</v>
      </c>
      <c r="F17" s="2" t="n">
        <v>5</v>
      </c>
      <c r="G17" s="2" t="n">
        <v>5</v>
      </c>
      <c r="H17" s="2" t="n">
        <v>3</v>
      </c>
      <c r="I17" s="2" t="n"/>
      <c r="J17" s="2" t="n">
        <v>10</v>
      </c>
      <c r="K17" s="2" t="n">
        <v>6</v>
      </c>
      <c r="L17" s="2" t="n">
        <v>6</v>
      </c>
      <c r="M17" s="2" t="n">
        <v>3</v>
      </c>
      <c r="N17" s="2" t="n">
        <v>3</v>
      </c>
      <c r="O17" s="2" t="n">
        <v>3</v>
      </c>
      <c r="P17" s="2" t="n"/>
      <c r="Q17" t="inlineStr">
        <is>
          <t>Jun-26 pending</t>
        </is>
      </c>
    </row>
    <row r="18">
      <c r="A18" t="inlineStr">
        <is>
          <t>Regional</t>
        </is>
      </c>
      <c r="B18" t="inlineStr">
        <is>
          <t>Regional</t>
        </is>
      </c>
      <c r="C18" t="inlineStr">
        <is>
          <t>Vijetha</t>
        </is>
      </c>
      <c r="D18" s="2" t="n">
        <v>4</v>
      </c>
      <c r="E18" s="2" t="n">
        <v>3</v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t="inlineStr">
        <is>
          <t>Reporting stopped after Jul-25</t>
        </is>
      </c>
    </row>
    <row r="19">
      <c r="A19" t="inlineStr">
        <is>
          <t>Regional</t>
        </is>
      </c>
      <c r="B19" t="inlineStr">
        <is>
          <t>Regional</t>
        </is>
      </c>
      <c r="C19" t="inlineStr">
        <is>
          <t>National Mart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>
        <v>2</v>
      </c>
      <c r="O19" s="2" t="n">
        <v>2</v>
      </c>
      <c r="P19" s="2" t="n">
        <v>4</v>
      </c>
      <c r="Q19" t="inlineStr">
        <is>
          <t>ASSUMED map-&gt;Regional - confirm</t>
        </is>
      </c>
    </row>
    <row r="20">
      <c r="A20" t="inlineStr">
        <is>
          <t>Regional</t>
        </is>
      </c>
      <c r="B20" t="inlineStr">
        <is>
          <t>Regional</t>
        </is>
      </c>
      <c r="C20" t="inlineStr">
        <is>
          <t>Sasta Sundar</t>
        </is>
      </c>
      <c r="D20" s="2" t="n">
        <v>0</v>
      </c>
      <c r="E20" s="2" t="n">
        <v>0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0</v>
      </c>
      <c r="K20" s="2" t="n">
        <v>0</v>
      </c>
      <c r="L20" s="2" t="n">
        <v>1</v>
      </c>
      <c r="M20" s="2" t="n">
        <v>1</v>
      </c>
      <c r="N20" s="2" t="n">
        <v>1</v>
      </c>
      <c r="O20" s="2" t="n">
        <v>1</v>
      </c>
      <c r="P20" s="2" t="n">
        <v>1</v>
      </c>
      <c r="Q20" t="inlineStr"/>
    </row>
    <row r="21">
      <c r="A21" t="inlineStr">
        <is>
          <t>Regional</t>
        </is>
      </c>
      <c r="B21" t="inlineStr">
        <is>
          <t>Regional</t>
        </is>
      </c>
      <c r="C21" t="inlineStr">
        <is>
          <t>Sumo Save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>
        <v>0</v>
      </c>
      <c r="N21" s="2" t="n">
        <v>1</v>
      </c>
      <c r="O21" s="2" t="n">
        <v>2</v>
      </c>
      <c r="P21" s="2" t="n">
        <v>1</v>
      </c>
      <c r="Q21" t="inlineStr">
        <is>
          <t>ASSUMED map-&gt;Regional - confirm</t>
        </is>
      </c>
    </row>
    <row r="22">
      <c r="A22" t="inlineStr">
        <is>
          <t>Regional</t>
        </is>
      </c>
      <c r="B22" t="inlineStr">
        <is>
          <t>Regional</t>
        </is>
      </c>
      <c r="C22" t="inlineStr">
        <is>
          <t>Ratanadeep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>
        <v>3</v>
      </c>
      <c r="Q22" t="inlineStr">
        <is>
          <t>Dup of Ratandeep? confirm</t>
        </is>
      </c>
    </row>
    <row r="23">
      <c r="A23" t="inlineStr">
        <is>
          <t>Regional</t>
        </is>
      </c>
      <c r="B23" t="inlineStr">
        <is>
          <t>Regional</t>
        </is>
      </c>
      <c r="C23" t="inlineStr">
        <is>
          <t>Apna Mart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>
        <v>3</v>
      </c>
      <c r="N23" s="2" t="n"/>
      <c r="O23" s="2" t="n"/>
      <c r="P23" s="2" t="n"/>
      <c r="Q23" t="inlineStr">
        <is>
          <t>ASSUMED map-&gt;Regional - confirm</t>
        </is>
      </c>
    </row>
    <row r="24">
      <c r="A24" t="inlineStr">
        <is>
          <t>Regional</t>
        </is>
      </c>
      <c r="B24" t="inlineStr">
        <is>
          <t>Regional</t>
        </is>
      </c>
      <c r="C24" t="inlineStr">
        <is>
          <t>Sohum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t="inlineStr">
        <is>
          <t>Sohum Shoppe -&gt; Regional/Others (no data yet)</t>
        </is>
      </c>
    </row>
    <row r="25">
      <c r="A25" t="inlineStr">
        <is>
          <t>H&amp;B</t>
        </is>
      </c>
      <c r="B25" t="inlineStr">
        <is>
          <t>H&amp;B</t>
        </is>
      </c>
      <c r="C25" t="inlineStr">
        <is>
          <t>H&amp;G</t>
        </is>
      </c>
      <c r="D25" s="2" t="n">
        <v>81</v>
      </c>
      <c r="E25" s="2" t="n">
        <v>79</v>
      </c>
      <c r="F25" s="2" t="n">
        <v>89</v>
      </c>
      <c r="G25" s="2" t="n">
        <v>85</v>
      </c>
      <c r="H25" s="2" t="n">
        <v>67</v>
      </c>
      <c r="I25" s="2" t="n">
        <v>66</v>
      </c>
      <c r="J25" s="2" t="n">
        <v>71</v>
      </c>
      <c r="K25" s="2" t="n">
        <v>80</v>
      </c>
      <c r="L25" s="2" t="n">
        <v>48</v>
      </c>
      <c r="M25" s="2" t="n">
        <v>51</v>
      </c>
      <c r="N25" s="2" t="n">
        <v>62</v>
      </c>
      <c r="O25" s="2" t="n">
        <v>87</v>
      </c>
      <c r="P25" s="2" t="n">
        <v>52</v>
      </c>
      <c r="Q25" t="inlineStr"/>
    </row>
    <row r="26">
      <c r="A26" t="inlineStr">
        <is>
          <t>H&amp;B</t>
        </is>
      </c>
      <c r="B26" t="inlineStr">
        <is>
          <t>H&amp;B</t>
        </is>
      </c>
      <c r="C26" t="inlineStr">
        <is>
          <t>Wh-Smith</t>
        </is>
      </c>
      <c r="D26" s="2" t="n">
        <v>1</v>
      </c>
      <c r="E26" s="2" t="n">
        <v>1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/>
      <c r="Q26" t="inlineStr">
        <is>
          <t>Jun-26 pending</t>
        </is>
      </c>
    </row>
    <row r="27">
      <c r="A27" t="inlineStr">
        <is>
          <t>H&amp;B</t>
        </is>
      </c>
      <c r="B27" t="inlineStr">
        <is>
          <t>H&amp;B</t>
        </is>
      </c>
      <c r="C27" t="inlineStr">
        <is>
          <t>BEAUTY &amp; NUTRIE</t>
        </is>
      </c>
      <c r="D27" s="2" t="n">
        <v>0</v>
      </c>
      <c r="E27" s="2" t="n">
        <v>1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1</v>
      </c>
      <c r="N27" s="2" t="n">
        <v>1</v>
      </c>
      <c r="O27" s="2" t="n">
        <v>0</v>
      </c>
      <c r="P27" s="2" t="n">
        <v>1</v>
      </c>
      <c r="Q27" t="inlineStr">
        <is>
          <t>ASSUMED map-&gt;H&amp;B - confirm</t>
        </is>
      </c>
    </row>
    <row r="28">
      <c r="A28" t="inlineStr">
        <is>
          <t>EB2B</t>
        </is>
      </c>
      <c r="B28" t="inlineStr">
        <is>
          <t>EB2B</t>
        </is>
      </c>
      <c r="C28" t="inlineStr">
        <is>
          <t>Fsn</t>
        </is>
      </c>
      <c r="D28" s="2" t="n">
        <v>164</v>
      </c>
      <c r="E28" s="2" t="n">
        <v>191</v>
      </c>
      <c r="F28" s="2" t="n">
        <v>160</v>
      </c>
      <c r="G28" s="2" t="n">
        <v>151</v>
      </c>
      <c r="H28" s="2" t="n">
        <v>156</v>
      </c>
      <c r="I28" s="2" t="n">
        <v>186</v>
      </c>
      <c r="J28" s="2" t="n">
        <v>168</v>
      </c>
      <c r="K28" s="2" t="n">
        <v>164</v>
      </c>
      <c r="L28" s="2" t="n">
        <v>168</v>
      </c>
      <c r="M28" s="2" t="n">
        <v>173</v>
      </c>
      <c r="N28" s="2" t="n">
        <v>229</v>
      </c>
      <c r="O28" s="2" t="n">
        <v>208</v>
      </c>
      <c r="P28" s="2" t="n">
        <v>217</v>
      </c>
      <c r="Q28" t="inlineStr"/>
    </row>
    <row r="29">
      <c r="A29" t="inlineStr">
        <is>
          <t>CNC</t>
        </is>
      </c>
      <c r="B29" t="inlineStr">
        <is>
          <t>CNC</t>
        </is>
      </c>
      <c r="C29" t="inlineStr">
        <is>
          <t>Metro Cnc</t>
        </is>
      </c>
      <c r="D29" s="2" t="n">
        <v>44</v>
      </c>
      <c r="E29" s="2" t="n">
        <v>42</v>
      </c>
      <c r="F29" s="2" t="n">
        <v>43</v>
      </c>
      <c r="G29" s="2" t="n">
        <v>35</v>
      </c>
      <c r="H29" s="2" t="n">
        <v>63</v>
      </c>
      <c r="I29" s="2" t="n">
        <v>58</v>
      </c>
      <c r="J29" s="2" t="n">
        <v>57</v>
      </c>
      <c r="K29" s="2" t="n">
        <v>53</v>
      </c>
      <c r="L29" s="2" t="n">
        <v>48</v>
      </c>
      <c r="M29" s="2" t="n">
        <v>53</v>
      </c>
      <c r="N29" s="2" t="n">
        <v>48</v>
      </c>
      <c r="O29" s="2" t="n">
        <v>48</v>
      </c>
      <c r="P29" s="2" t="n"/>
      <c r="Q29" t="inlineStr">
        <is>
          <t>Jun-26 pending</t>
        </is>
      </c>
    </row>
    <row r="30">
      <c r="A30" t="inlineStr">
        <is>
          <t>CNC</t>
        </is>
      </c>
      <c r="B30" t="inlineStr">
        <is>
          <t>CNC</t>
        </is>
      </c>
      <c r="C30" t="inlineStr">
        <is>
          <t>Walmart Cnc</t>
        </is>
      </c>
      <c r="D30" s="2" t="n">
        <v>21</v>
      </c>
      <c r="E30" s="2" t="n">
        <v>15</v>
      </c>
      <c r="F30" s="2" t="n">
        <v>15</v>
      </c>
      <c r="G30" s="2" t="n">
        <v>12</v>
      </c>
      <c r="H30" s="2" t="n">
        <v>18</v>
      </c>
      <c r="I30" s="2" t="n">
        <v>23</v>
      </c>
      <c r="J30" s="2" t="n">
        <v>25</v>
      </c>
      <c r="K30" s="2" t="n">
        <v>17</v>
      </c>
      <c r="L30" s="2" t="n">
        <v>17</v>
      </c>
      <c r="M30" s="2" t="n">
        <v>19</v>
      </c>
      <c r="N30" s="2" t="n">
        <v>26</v>
      </c>
      <c r="O30" s="2" t="n">
        <v>11</v>
      </c>
      <c r="P30" s="2" t="n"/>
      <c r="Q30" t="inlineStr">
        <is>
          <t>Jun-26 pending</t>
        </is>
      </c>
    </row>
    <row r="32">
      <c r="C32" s="3" t="inlineStr">
        <is>
          <t>Grand Total (source)</t>
        </is>
      </c>
      <c r="D32" s="3">
        <f>SUM(D2:D30)</f>
        <v/>
      </c>
      <c r="E32" s="3">
        <f>SUM(E2:E30)</f>
        <v/>
      </c>
      <c r="F32" s="3">
        <f>SUM(F2:F30)</f>
        <v/>
      </c>
      <c r="G32" s="3">
        <f>SUM(G2:G30)</f>
        <v/>
      </c>
      <c r="H32" s="3">
        <f>SUM(H2:H30)</f>
        <v/>
      </c>
      <c r="I32" s="3">
        <f>SUM(I2:I30)</f>
        <v/>
      </c>
      <c r="J32" s="3">
        <f>SUM(J2:J30)</f>
        <v/>
      </c>
      <c r="K32" s="3">
        <f>SUM(K2:K30)</f>
        <v/>
      </c>
      <c r="L32" s="3">
        <f>SUM(L2:L30)</f>
        <v/>
      </c>
      <c r="M32" s="3">
        <f>SUM(M2:M30)</f>
        <v/>
      </c>
      <c r="N32" s="3">
        <f>SUM(N2:N30)</f>
        <v/>
      </c>
      <c r="O32" s="3">
        <f>SUM(O2:O30)</f>
        <v/>
      </c>
      <c r="P32" s="3">
        <f>SUM(P2:P30)</f>
        <v/>
      </c>
    </row>
    <row r="34">
      <c r="A34" s="4" t="inlineStr">
        <is>
          <t>PASTE MONTHLY DATA HERE. Leave a cell BLANK if the value is not yet received (do NOT enter 0). The Summary &amp; Chart read this sheet by 'Summary Bucket' via SUMIFS, so pasting the pending Jun-26 column auto-updates everything.</t>
        </is>
      </c>
    </row>
  </sheetData>
  <mergeCells count="1">
    <mergeCell ref="A34:Q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</cols>
  <sheetData>
    <row r="1">
      <c r="A1" s="1" t="inlineStr">
        <is>
          <t>Format (mapping sheet)</t>
        </is>
      </c>
      <c r="B1" s="1" t="inlineStr">
        <is>
          <t>Chain</t>
        </is>
      </c>
      <c r="C1" s="1" t="inlineStr">
        <is>
          <t>Chain Mapping</t>
        </is>
      </c>
      <c r="D1" s="1" t="inlineStr">
        <is>
          <t>Summary Bucket used</t>
        </is>
      </c>
    </row>
    <row r="2">
      <c r="A2" s="5" t="inlineStr">
        <is>
          <t>H/S MKT</t>
        </is>
      </c>
      <c r="B2" s="5" t="inlineStr">
        <is>
          <t>D-Mart</t>
        </is>
      </c>
      <c r="C2" s="5" t="inlineStr">
        <is>
          <t>D-Mart</t>
        </is>
      </c>
      <c r="D2" s="5" t="inlineStr">
        <is>
          <t>D-Mart</t>
        </is>
      </c>
    </row>
    <row r="3">
      <c r="A3" s="5" t="inlineStr">
        <is>
          <t>H/S MKT</t>
        </is>
      </c>
      <c r="B3" s="5" t="inlineStr">
        <is>
          <t>Reliance Retail</t>
        </is>
      </c>
      <c r="C3" s="5" t="inlineStr">
        <is>
          <t>Reliance Retail</t>
        </is>
      </c>
      <c r="D3" s="5" t="inlineStr">
        <is>
          <t>Reliance</t>
        </is>
      </c>
    </row>
    <row r="4">
      <c r="A4" s="5" t="inlineStr">
        <is>
          <t>H/S MKT</t>
        </is>
      </c>
      <c r="B4" s="5" t="inlineStr">
        <is>
          <t>Lulu</t>
        </is>
      </c>
      <c r="C4" s="5" t="inlineStr">
        <is>
          <t>Lulu</t>
        </is>
      </c>
      <c r="D4" s="5" t="inlineStr">
        <is>
          <t>Lulu</t>
        </is>
      </c>
    </row>
    <row r="5">
      <c r="A5" s="5" t="inlineStr">
        <is>
          <t>H/S MKT</t>
        </is>
      </c>
      <c r="B5" s="5" t="inlineStr">
        <is>
          <t>Max Hyper</t>
        </is>
      </c>
      <c r="C5" s="5" t="inlineStr">
        <is>
          <t>Others</t>
        </is>
      </c>
      <c r="D5" s="5" t="inlineStr">
        <is>
          <t>HS-Others</t>
        </is>
      </c>
    </row>
    <row r="6">
      <c r="A6" s="5" t="inlineStr">
        <is>
          <t>H/S MKT</t>
        </is>
      </c>
      <c r="B6" s="5" t="inlineStr">
        <is>
          <t>More Retail</t>
        </is>
      </c>
      <c r="C6" s="5" t="inlineStr">
        <is>
          <t>More Retail</t>
        </is>
      </c>
      <c r="D6" s="5" t="inlineStr">
        <is>
          <t>More</t>
        </is>
      </c>
    </row>
    <row r="7">
      <c r="A7" s="5" t="inlineStr">
        <is>
          <t>H/S MKT</t>
        </is>
      </c>
      <c r="B7" s="5" t="inlineStr">
        <is>
          <t>Spencer</t>
        </is>
      </c>
      <c r="C7" s="5" t="inlineStr">
        <is>
          <t>Others</t>
        </is>
      </c>
      <c r="D7" s="5" t="inlineStr">
        <is>
          <t>HS-Others</t>
        </is>
      </c>
    </row>
    <row r="8">
      <c r="A8" s="5" t="inlineStr">
        <is>
          <t>H/S MKT</t>
        </is>
      </c>
      <c r="B8" s="5" t="inlineStr">
        <is>
          <t>Trent Hypermarket</t>
        </is>
      </c>
      <c r="C8" s="5" t="inlineStr">
        <is>
          <t>Others</t>
        </is>
      </c>
      <c r="D8" s="5" t="inlineStr">
        <is>
          <t>HS-Others</t>
        </is>
      </c>
    </row>
    <row r="9">
      <c r="A9" s="5" t="inlineStr">
        <is>
          <t>H/S MKT</t>
        </is>
      </c>
      <c r="B9" s="5" t="inlineStr">
        <is>
          <t>V-Mart</t>
        </is>
      </c>
      <c r="C9" s="5" t="inlineStr">
        <is>
          <t>Others</t>
        </is>
      </c>
      <c r="D9" s="5" t="inlineStr">
        <is>
          <t>HS-Others</t>
        </is>
      </c>
    </row>
    <row r="10">
      <c r="A10" s="5" t="inlineStr">
        <is>
          <t>H/S MKT</t>
        </is>
      </c>
      <c r="B10" s="5" t="inlineStr">
        <is>
          <t>VMM</t>
        </is>
      </c>
      <c r="C10" s="5" t="inlineStr">
        <is>
          <t>Others</t>
        </is>
      </c>
      <c r="D10" s="5" t="inlineStr">
        <is>
          <t>HS-Others</t>
        </is>
      </c>
    </row>
    <row r="11">
      <c r="A11" s="5" t="inlineStr">
        <is>
          <t>DRUG STORE</t>
        </is>
      </c>
      <c r="B11" s="5" t="inlineStr">
        <is>
          <t>Apollo Healthco</t>
        </is>
      </c>
      <c r="C11" s="5" t="inlineStr">
        <is>
          <t>Apollo Healthco</t>
        </is>
      </c>
      <c r="D11" s="5" t="inlineStr">
        <is>
          <t>Apollo</t>
        </is>
      </c>
    </row>
    <row r="12">
      <c r="A12" s="5" t="inlineStr">
        <is>
          <t>DRUG STORE</t>
        </is>
      </c>
      <c r="B12" s="5" t="inlineStr">
        <is>
          <t>Wellness Forever</t>
        </is>
      </c>
      <c r="C12" s="5" t="inlineStr">
        <is>
          <t>Wellness Forever</t>
        </is>
      </c>
      <c r="D12" s="5" t="inlineStr">
        <is>
          <t>Wellness</t>
        </is>
      </c>
    </row>
    <row r="13">
      <c r="A13" s="5" t="inlineStr">
        <is>
          <t>DRUG STORE</t>
        </is>
      </c>
      <c r="B13" s="5" t="inlineStr">
        <is>
          <t>Guardian Healthcare</t>
        </is>
      </c>
      <c r="C13" s="5" t="inlineStr">
        <is>
          <t>Others</t>
        </is>
      </c>
      <c r="D13" s="5" t="inlineStr">
        <is>
          <t>Drug-Others</t>
        </is>
      </c>
    </row>
    <row r="14">
      <c r="A14" s="5" t="inlineStr">
        <is>
          <t>DRUG STORE</t>
        </is>
      </c>
      <c r="B14" s="5" t="inlineStr">
        <is>
          <t>Arambagh</t>
        </is>
      </c>
      <c r="C14" s="5" t="inlineStr">
        <is>
          <t>Others</t>
        </is>
      </c>
      <c r="D14" s="5" t="inlineStr">
        <is>
          <t>Drug-Others</t>
        </is>
      </c>
    </row>
    <row r="15">
      <c r="A15" s="5" t="inlineStr">
        <is>
          <t>DRUG STORE</t>
        </is>
      </c>
      <c r="B15" s="5" t="inlineStr">
        <is>
          <t>FRANKROSS</t>
        </is>
      </c>
      <c r="C15" s="5" t="inlineStr">
        <is>
          <t>Others</t>
        </is>
      </c>
      <c r="D15" s="5" t="inlineStr">
        <is>
          <t>Drug-Others</t>
        </is>
      </c>
    </row>
    <row r="16">
      <c r="A16" s="5" t="inlineStr">
        <is>
          <t>Regional</t>
        </is>
      </c>
      <c r="B16" s="5" t="inlineStr">
        <is>
          <t>RMT-Sancus</t>
        </is>
      </c>
      <c r="C16" s="5" t="inlineStr">
        <is>
          <t>Sancus</t>
        </is>
      </c>
      <c r="D16" s="5" t="inlineStr">
        <is>
          <t>Regional</t>
        </is>
      </c>
    </row>
    <row r="17">
      <c r="A17" s="5" t="inlineStr">
        <is>
          <t>Regional</t>
        </is>
      </c>
      <c r="B17" s="5" t="inlineStr">
        <is>
          <t>Grace Super MKT</t>
        </is>
      </c>
      <c r="C17" s="5" t="inlineStr">
        <is>
          <t>Others</t>
        </is>
      </c>
      <c r="D17" s="5" t="inlineStr">
        <is>
          <t>Regional</t>
        </is>
      </c>
    </row>
    <row r="18">
      <c r="A18" s="5" t="inlineStr">
        <is>
          <t>Regional</t>
        </is>
      </c>
      <c r="B18" s="5" t="inlineStr">
        <is>
          <t>Deal Share</t>
        </is>
      </c>
      <c r="C18" s="5" t="inlineStr">
        <is>
          <t>Others</t>
        </is>
      </c>
      <c r="D18" s="5" t="inlineStr">
        <is>
          <t>Regional</t>
        </is>
      </c>
    </row>
    <row r="19">
      <c r="A19" s="5" t="inlineStr">
        <is>
          <t>Regional</t>
        </is>
      </c>
      <c r="B19" s="5" t="inlineStr">
        <is>
          <t>Ratnadeep</t>
        </is>
      </c>
      <c r="C19" s="5" t="inlineStr">
        <is>
          <t>Others</t>
        </is>
      </c>
      <c r="D19" s="5" t="inlineStr">
        <is>
          <t>Regional</t>
        </is>
      </c>
    </row>
    <row r="20">
      <c r="A20" s="5" t="inlineStr">
        <is>
          <t>Regional</t>
        </is>
      </c>
      <c r="B20" s="5" t="inlineStr">
        <is>
          <t>Vijetha</t>
        </is>
      </c>
      <c r="C20" s="5" t="inlineStr">
        <is>
          <t>Others</t>
        </is>
      </c>
      <c r="D20" s="5" t="inlineStr">
        <is>
          <t>Regional</t>
        </is>
      </c>
    </row>
    <row r="21">
      <c r="A21" s="5" t="inlineStr">
        <is>
          <t>Regional</t>
        </is>
      </c>
      <c r="B21" s="5" t="inlineStr">
        <is>
          <t>Pothys</t>
        </is>
      </c>
      <c r="C21" s="5" t="inlineStr">
        <is>
          <t>Others</t>
        </is>
      </c>
      <c r="D21" s="5" t="inlineStr">
        <is>
          <t>Regional</t>
        </is>
      </c>
    </row>
    <row r="22">
      <c r="A22" s="5" t="inlineStr">
        <is>
          <t>Regional</t>
        </is>
      </c>
      <c r="B22" s="5" t="inlineStr">
        <is>
          <t>Sarvana</t>
        </is>
      </c>
      <c r="C22" s="5" t="inlineStr">
        <is>
          <t>Others</t>
        </is>
      </c>
      <c r="D22" s="5" t="inlineStr">
        <is>
          <t>Regional</t>
        </is>
      </c>
    </row>
    <row r="23">
      <c r="A23" s="5" t="inlineStr">
        <is>
          <t>Regional</t>
        </is>
      </c>
      <c r="B23" s="5" t="inlineStr">
        <is>
          <t>Sasta Sunder</t>
        </is>
      </c>
      <c r="C23" s="5" t="inlineStr">
        <is>
          <t>Others</t>
        </is>
      </c>
      <c r="D23" s="5" t="inlineStr">
        <is>
          <t>Regional</t>
        </is>
      </c>
    </row>
    <row r="24">
      <c r="A24" s="5" t="inlineStr">
        <is>
          <t>Regional</t>
        </is>
      </c>
      <c r="B24" s="5" t="inlineStr">
        <is>
          <t>Trilife</t>
        </is>
      </c>
      <c r="C24" s="5" t="inlineStr">
        <is>
          <t>Others</t>
        </is>
      </c>
      <c r="D24" s="5" t="inlineStr">
        <is>
          <t>Regional</t>
        </is>
      </c>
    </row>
    <row r="25">
      <c r="A25" s="5" t="inlineStr">
        <is>
          <t>Regional</t>
        </is>
      </c>
      <c r="B25" s="5" t="inlineStr">
        <is>
          <t>Octopolis Technologies Pvt Ltd</t>
        </is>
      </c>
      <c r="C25" s="5" t="inlineStr">
        <is>
          <t>Others</t>
        </is>
      </c>
      <c r="D25" s="5" t="inlineStr">
        <is>
          <t>Regional</t>
        </is>
      </c>
    </row>
    <row r="26">
      <c r="A26" s="5" t="inlineStr">
        <is>
          <t>Regional</t>
        </is>
      </c>
      <c r="B26" s="5" t="inlineStr">
        <is>
          <t>B&amp;N</t>
        </is>
      </c>
      <c r="C26" s="5" t="inlineStr">
        <is>
          <t>Others</t>
        </is>
      </c>
      <c r="D26" s="5" t="inlineStr">
        <is>
          <t>Regional</t>
        </is>
      </c>
    </row>
    <row r="27">
      <c r="A27" s="5" t="inlineStr">
        <is>
          <t>Regional</t>
        </is>
      </c>
      <c r="B27" s="5" t="inlineStr">
        <is>
          <t>SAI SAACHI ASSOCIATES-MT-OR</t>
        </is>
      </c>
      <c r="C27" s="5" t="inlineStr">
        <is>
          <t>Others</t>
        </is>
      </c>
      <c r="D27" s="5" t="inlineStr">
        <is>
          <t>Regional</t>
        </is>
      </c>
    </row>
    <row r="28">
      <c r="A28" s="5" t="inlineStr">
        <is>
          <t>Regional</t>
        </is>
      </c>
      <c r="B28" s="5" t="inlineStr">
        <is>
          <t>Others</t>
        </is>
      </c>
      <c r="C28" s="5" t="inlineStr">
        <is>
          <t>Others</t>
        </is>
      </c>
      <c r="D28" s="5" t="inlineStr">
        <is>
          <t>Regional</t>
        </is>
      </c>
    </row>
    <row r="29">
      <c r="A29" s="5" t="inlineStr">
        <is>
          <t>Regional</t>
        </is>
      </c>
      <c r="B29" s="5" t="inlineStr">
        <is>
          <t>GNRC</t>
        </is>
      </c>
      <c r="C29" s="5" t="inlineStr">
        <is>
          <t>Others</t>
        </is>
      </c>
      <c r="D29" s="5" t="inlineStr">
        <is>
          <t>Regional</t>
        </is>
      </c>
    </row>
    <row r="30">
      <c r="A30" s="5" t="inlineStr">
        <is>
          <t>Regional</t>
        </is>
      </c>
      <c r="B30" s="5" t="inlineStr">
        <is>
          <t>Nao Grocery</t>
        </is>
      </c>
      <c r="C30" s="5" t="inlineStr">
        <is>
          <t>Others</t>
        </is>
      </c>
      <c r="D30" s="5" t="inlineStr">
        <is>
          <t>Regional</t>
        </is>
      </c>
    </row>
    <row r="31">
      <c r="A31" s="5" t="inlineStr">
        <is>
          <t>Regional</t>
        </is>
      </c>
      <c r="B31" s="5" t="inlineStr">
        <is>
          <t>Sohum Shoppe</t>
        </is>
      </c>
      <c r="C31" s="5" t="inlineStr">
        <is>
          <t>Others</t>
        </is>
      </c>
      <c r="D31" s="5" t="inlineStr">
        <is>
          <t>Regional</t>
        </is>
      </c>
    </row>
    <row r="32">
      <c r="A32" s="5" t="inlineStr">
        <is>
          <t>H&amp;B</t>
        </is>
      </c>
      <c r="B32" s="5" t="inlineStr">
        <is>
          <t>H&amp;G</t>
        </is>
      </c>
      <c r="C32" s="5" t="inlineStr">
        <is>
          <t>H&amp;G</t>
        </is>
      </c>
      <c r="D32" s="5" t="inlineStr">
        <is>
          <t>H&amp;B</t>
        </is>
      </c>
    </row>
    <row r="33">
      <c r="A33" s="5" t="inlineStr">
        <is>
          <t>H&amp;B</t>
        </is>
      </c>
      <c r="B33" s="5" t="inlineStr">
        <is>
          <t>Dabur new u</t>
        </is>
      </c>
      <c r="C33" s="5" t="inlineStr">
        <is>
          <t>Others</t>
        </is>
      </c>
      <c r="D33" s="5" t="inlineStr">
        <is>
          <t>H&amp;B</t>
        </is>
      </c>
    </row>
    <row r="34">
      <c r="A34" s="5" t="inlineStr">
        <is>
          <t>H&amp;B</t>
        </is>
      </c>
      <c r="B34" s="5" t="inlineStr">
        <is>
          <t>WH-Smith</t>
        </is>
      </c>
      <c r="C34" s="5" t="inlineStr">
        <is>
          <t>Others</t>
        </is>
      </c>
      <c r="D34" s="5" t="inlineStr">
        <is>
          <t>H&amp;B</t>
        </is>
      </c>
    </row>
    <row r="35">
      <c r="A35" s="5" t="inlineStr">
        <is>
          <t>H&amp;B</t>
        </is>
      </c>
      <c r="B35" s="5" t="inlineStr">
        <is>
          <t>Travel Retail Services-Relay</t>
        </is>
      </c>
      <c r="C35" s="5" t="inlineStr">
        <is>
          <t>Others</t>
        </is>
      </c>
      <c r="D35" s="5" t="inlineStr">
        <is>
          <t>H&amp;B</t>
        </is>
      </c>
    </row>
    <row r="36">
      <c r="A36" s="5" t="inlineStr">
        <is>
          <t>Eb2b</t>
        </is>
      </c>
      <c r="B36" s="5" t="inlineStr">
        <is>
          <t>FSN</t>
        </is>
      </c>
      <c r="C36" s="5" t="inlineStr">
        <is>
          <t>EB2B</t>
        </is>
      </c>
      <c r="D36" s="5" t="inlineStr">
        <is>
          <t>EB2B</t>
        </is>
      </c>
    </row>
    <row r="37">
      <c r="A37" s="5" t="inlineStr">
        <is>
          <t>CNC</t>
        </is>
      </c>
      <c r="B37" s="5" t="inlineStr">
        <is>
          <t>Metro-CNC</t>
        </is>
      </c>
      <c r="C37" s="5" t="inlineStr">
        <is>
          <t>CNC</t>
        </is>
      </c>
      <c r="D37" s="5" t="inlineStr">
        <is>
          <t>CNC</t>
        </is>
      </c>
    </row>
    <row r="38">
      <c r="A38" s="5" t="inlineStr">
        <is>
          <t>CNC</t>
        </is>
      </c>
      <c r="B38" s="5" t="inlineStr">
        <is>
          <t>Walmart-CNC</t>
        </is>
      </c>
      <c r="C38" s="5" t="inlineStr">
        <is>
          <t>CNC</t>
        </is>
      </c>
      <c r="D38" s="5" t="inlineStr">
        <is>
          <t>CNC</t>
        </is>
      </c>
    </row>
    <row r="39">
      <c r="A39" s="5" t="inlineStr">
        <is>
          <t>SIS</t>
        </is>
      </c>
      <c r="B39" s="5" t="inlineStr">
        <is>
          <t>(no chains mapped yet)</t>
        </is>
      </c>
      <c r="C39" s="5" t="inlineStr">
        <is>
          <t>-</t>
        </is>
      </c>
      <c r="D39" s="5" t="inlineStr">
        <is>
          <t>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11" customWidth="1" min="13" max="13"/>
    <col width="40" customWidth="1" min="14" max="14"/>
  </cols>
  <sheetData>
    <row r="1">
      <c r="A1" s="1" t="inlineStr">
        <is>
          <t>Format</t>
        </is>
      </c>
      <c r="B1" s="1" t="inlineStr">
        <is>
          <t>Chain / Line</t>
        </is>
      </c>
      <c r="C1" s="1" t="inlineStr">
        <is>
          <t>Q1-24</t>
        </is>
      </c>
      <c r="D1" s="1" t="inlineStr">
        <is>
          <t>Q2-24</t>
        </is>
      </c>
      <c r="E1" s="1" t="inlineStr">
        <is>
          <t>Q3-24</t>
        </is>
      </c>
      <c r="F1" s="1" t="inlineStr">
        <is>
          <t>Q4-24</t>
        </is>
      </c>
      <c r="G1" s="1" t="inlineStr">
        <is>
          <t>Q1-25</t>
        </is>
      </c>
      <c r="H1" s="1" t="inlineStr">
        <is>
          <t>Q2-25</t>
        </is>
      </c>
      <c r="I1" s="1" t="inlineStr">
        <is>
          <t>Q3-25</t>
        </is>
      </c>
      <c r="J1" s="1" t="inlineStr">
        <is>
          <t>Q4-25</t>
        </is>
      </c>
      <c r="K1" s="1" t="inlineStr">
        <is>
          <t>Q1-26</t>
        </is>
      </c>
      <c r="L1" s="1" t="inlineStr">
        <is>
          <t>GO Sequential QoQ</t>
        </is>
      </c>
      <c r="M1" s="1" t="inlineStr">
        <is>
          <t>GO QoQ</t>
        </is>
      </c>
      <c r="N1" s="1" t="inlineStr">
        <is>
          <t>Remarks</t>
        </is>
      </c>
    </row>
    <row r="2">
      <c r="A2" s="6" t="inlineStr">
        <is>
          <t>Hyper/Super</t>
        </is>
      </c>
      <c r="B2" s="6" t="inlineStr">
        <is>
          <t>D-Mart</t>
        </is>
      </c>
      <c r="C2" s="7" t="n">
        <v>2234</v>
      </c>
      <c r="D2" s="7" t="n">
        <v>1873</v>
      </c>
      <c r="E2" s="7" t="n">
        <v>1954</v>
      </c>
      <c r="F2" s="7" t="n">
        <v>2028</v>
      </c>
      <c r="G2" s="7" t="n">
        <v>2600</v>
      </c>
      <c r="H2" s="7" t="n">
        <v>2304</v>
      </c>
      <c r="I2" s="7" t="n">
        <v>2902</v>
      </c>
      <c r="J2" s="7" t="n">
        <v>3121</v>
      </c>
      <c r="K2" s="7">
        <f>IF(SUMPRODUCT((Source_Data!$B$2:$B$30="D-Mart")*(Source_Data!$O$2:$O$30&lt;&gt;"")*(Source_Data!$P$2:$P$30=""))&gt;0,"Pending",SUMIFS(Source_Data!$N$2:$N$30,Source_Data!$B$2:$B$30,"D-Mart")+SUMIFS(Source_Data!$O$2:$O$30,Source_Data!$B$2:$B$30,"D-Mart")+SUMIFS(Source_Data!$P$2:$P$30,Source_Data!$B$2:$B$30,"D-Mart"))</f>
        <v/>
      </c>
      <c r="L2" s="8">
        <f>IF(ISNUMBER(K2),IF(J2=0,"n/a",(K2-J2)/J2),"Pending")</f>
        <v/>
      </c>
      <c r="M2" s="8">
        <f>IF(AND(ISNUMBER(K2),ISNUMBER(G2),G2&lt;&gt;0),(K2-G2)/G2,"Pending")</f>
        <v/>
      </c>
      <c r="N2" s="5" t="inlineStr">
        <is>
          <t>Q1-26 = Apr+May+Jun-26 (auto from Source_Data)</t>
        </is>
      </c>
    </row>
    <row r="3">
      <c r="A3" s="6" t="inlineStr"/>
      <c r="B3" s="6" t="inlineStr">
        <is>
          <t>Reliance</t>
        </is>
      </c>
      <c r="C3" s="7" t="n">
        <v>1195</v>
      </c>
      <c r="D3" s="7" t="n">
        <v>1399</v>
      </c>
      <c r="E3" s="7" t="n">
        <v>1382</v>
      </c>
      <c r="F3" s="7" t="n">
        <v>1556</v>
      </c>
      <c r="G3" s="7" t="n">
        <v>1908</v>
      </c>
      <c r="H3" s="7" t="n">
        <v>1870</v>
      </c>
      <c r="I3" s="7" t="n">
        <v>2063</v>
      </c>
      <c r="J3" s="7" t="n">
        <v>2461</v>
      </c>
      <c r="K3" s="7">
        <f>IF(SUMPRODUCT((Source_Data!$B$2:$B$30="Reliance")*(Source_Data!$O$2:$O$30&lt;&gt;"")*(Source_Data!$P$2:$P$30=""))&gt;0,"Pending",SUMIFS(Source_Data!$N$2:$N$30,Source_Data!$B$2:$B$30,"Reliance")+SUMIFS(Source_Data!$O$2:$O$30,Source_Data!$B$2:$B$30,"Reliance")+SUMIFS(Source_Data!$P$2:$P$30,Source_Data!$B$2:$B$30,"Reliance"))</f>
        <v/>
      </c>
      <c r="L3" s="8">
        <f>IF(ISNUMBER(K3),IF(J3=0,"n/a",(K3-J3)/J3),"Pending")</f>
        <v/>
      </c>
      <c r="M3" s="8">
        <f>IF(AND(ISNUMBER(K3),ISNUMBER(G3),G3&lt;&gt;0),(K3-G3)/G3,"Pending")</f>
        <v/>
      </c>
      <c r="N3" s="5" t="inlineStr">
        <is>
          <t>Q1-26 = Apr+May+Jun-26 (auto from Source_Data)</t>
        </is>
      </c>
    </row>
    <row r="4">
      <c r="A4" s="6" t="inlineStr"/>
      <c r="B4" s="6" t="inlineStr">
        <is>
          <t>Lulu</t>
        </is>
      </c>
      <c r="C4" s="7" t="n">
        <v>115</v>
      </c>
      <c r="D4" s="7" t="n">
        <v>121</v>
      </c>
      <c r="E4" s="7" t="n">
        <v>94</v>
      </c>
      <c r="F4" s="7" t="n">
        <v>124</v>
      </c>
      <c r="G4" s="7" t="n">
        <v>124</v>
      </c>
      <c r="H4" s="7" t="n">
        <v>153</v>
      </c>
      <c r="I4" s="7" t="n">
        <v>220</v>
      </c>
      <c r="J4" s="7" t="n">
        <v>251</v>
      </c>
      <c r="K4" s="7">
        <f>IF(SUMPRODUCT((Source_Data!$B$2:$B$30="Lulu")*(Source_Data!$O$2:$O$30&lt;&gt;"")*(Source_Data!$P$2:$P$30=""))&gt;0,"Pending",SUMIFS(Source_Data!$N$2:$N$30,Source_Data!$B$2:$B$30,"Lulu")+SUMIFS(Source_Data!$O$2:$O$30,Source_Data!$B$2:$B$30,"Lulu")+SUMIFS(Source_Data!$P$2:$P$30,Source_Data!$B$2:$B$30,"Lulu"))</f>
        <v/>
      </c>
      <c r="L4" s="8">
        <f>IF(ISNUMBER(K4),IF(J4=0,"n/a",(K4-J4)/J4),"Pending")</f>
        <v/>
      </c>
      <c r="M4" s="8">
        <f>IF(AND(ISNUMBER(K4),ISNUMBER(G4),G4&lt;&gt;0),(K4-G4)/G4,"Pending")</f>
        <v/>
      </c>
      <c r="N4" s="5" t="inlineStr">
        <is>
          <t>Q1-26 = Apr+May+Jun-26 (auto from Source_Data)</t>
        </is>
      </c>
    </row>
    <row r="5">
      <c r="A5" s="6" t="inlineStr"/>
      <c r="B5" s="6" t="inlineStr">
        <is>
          <t>More</t>
        </is>
      </c>
      <c r="C5" s="7" t="n">
        <v>37</v>
      </c>
      <c r="D5" s="7" t="n">
        <v>54</v>
      </c>
      <c r="E5" s="7" t="n">
        <v>59</v>
      </c>
      <c r="F5" s="7" t="n">
        <v>71</v>
      </c>
      <c r="G5" s="7" t="n">
        <v>84</v>
      </c>
      <c r="H5" s="7" t="n">
        <v>104</v>
      </c>
      <c r="I5" s="7" t="n">
        <v>123</v>
      </c>
      <c r="J5" s="7" t="n">
        <v>123</v>
      </c>
      <c r="K5" s="7">
        <f>IF(SUMPRODUCT((Source_Data!$B$2:$B$30="More")*(Source_Data!$O$2:$O$30&lt;&gt;"")*(Source_Data!$P$2:$P$30=""))&gt;0,"Pending",SUMIFS(Source_Data!$N$2:$N$30,Source_Data!$B$2:$B$30,"More")+SUMIFS(Source_Data!$O$2:$O$30,Source_Data!$B$2:$B$30,"More")+SUMIFS(Source_Data!$P$2:$P$30,Source_Data!$B$2:$B$30,"More"))</f>
        <v/>
      </c>
      <c r="L5" s="8">
        <f>IF(ISNUMBER(K5),IF(J5=0,"n/a",(K5-J5)/J5),"Pending")</f>
        <v/>
      </c>
      <c r="M5" s="8">
        <f>IF(AND(ISNUMBER(K5),ISNUMBER(G5),G5&lt;&gt;0),(K5-G5)/G5,"Pending")</f>
        <v/>
      </c>
      <c r="N5" s="5" t="inlineStr">
        <is>
          <t>Q1-26 = Apr+May+Jun-26 (auto from Source_Data)</t>
        </is>
      </c>
    </row>
    <row r="6">
      <c r="A6" s="6" t="inlineStr"/>
      <c r="B6" s="6" t="inlineStr">
        <is>
          <t>Others</t>
        </is>
      </c>
      <c r="C6" s="7" t="n">
        <v>84</v>
      </c>
      <c r="D6" s="7" t="n">
        <v>120</v>
      </c>
      <c r="E6" s="7" t="n">
        <v>137</v>
      </c>
      <c r="F6" s="7" t="n">
        <v>112</v>
      </c>
      <c r="G6" s="7" t="n">
        <v>105</v>
      </c>
      <c r="H6" s="7" t="n">
        <v>88</v>
      </c>
      <c r="I6" s="7" t="n">
        <v>119</v>
      </c>
      <c r="J6" s="7" t="n">
        <v>155</v>
      </c>
      <c r="K6" s="7">
        <f>IF(SUMPRODUCT((Source_Data!$B$2:$B$30="HS-Others")*(Source_Data!$O$2:$O$30&lt;&gt;"")*(Source_Data!$P$2:$P$30=""))&gt;0,"Pending",SUMIFS(Source_Data!$N$2:$N$30,Source_Data!$B$2:$B$30,"HS-Others")+SUMIFS(Source_Data!$O$2:$O$30,Source_Data!$B$2:$B$30,"HS-Others")+SUMIFS(Source_Data!$P$2:$P$30,Source_Data!$B$2:$B$30,"HS-Others"))</f>
        <v/>
      </c>
      <c r="L6" s="8">
        <f>IF(ISNUMBER(K6),IF(J6=0,"n/a",(K6-J6)/J6),"Pending")</f>
        <v/>
      </c>
      <c r="M6" s="8">
        <f>IF(AND(ISNUMBER(K6),ISNUMBER(G6),G6&lt;&gt;0),(K6-G6)/G6,"Pending")</f>
        <v/>
      </c>
      <c r="N6" s="5" t="inlineStr">
        <is>
          <t>Max Hyper/Spencer/Trent/V-Mart/VMM; Q1-26 = Apr+May+Jun-26 (auto from Source_Data)</t>
        </is>
      </c>
    </row>
    <row r="7">
      <c r="A7" s="9" t="inlineStr"/>
      <c r="B7" s="9" t="inlineStr">
        <is>
          <t>H/S Total</t>
        </is>
      </c>
      <c r="C7" s="10">
        <f>SUM(C2:C6)</f>
        <v/>
      </c>
      <c r="D7" s="10">
        <f>SUM(D2:D6)</f>
        <v/>
      </c>
      <c r="E7" s="10">
        <f>SUM(E2:E6)</f>
        <v/>
      </c>
      <c r="F7" s="10">
        <f>SUM(F2:F6)</f>
        <v/>
      </c>
      <c r="G7" s="10">
        <f>SUM(G2:G6)</f>
        <v/>
      </c>
      <c r="H7" s="10">
        <f>SUM(H2:H6)</f>
        <v/>
      </c>
      <c r="I7" s="10">
        <f>SUM(I2:I6)</f>
        <v/>
      </c>
      <c r="J7" s="10">
        <f>SUM(J2:J6)</f>
        <v/>
      </c>
      <c r="K7" s="10">
        <f>IF(COUNTIF(K2:K6,"Pending")&gt;0,"Pending",SUM(K2:K6))</f>
        <v/>
      </c>
      <c r="L7" s="11">
        <f>IF(ISNUMBER(K7),IF(J7=0,"n/a",(K7-J7)/J7),"Pending")</f>
        <v/>
      </c>
      <c r="M7" s="11">
        <f>IF(AND(ISNUMBER(K7),ISNUMBER(G7),G7&lt;&gt;0),(K7-G7)/G7,"Pending")</f>
        <v/>
      </c>
      <c r="N7" s="12" t="inlineStr">
        <is>
          <t>Q1-26 = Apr+May+Jun-26 (auto from Source_Data)</t>
        </is>
      </c>
    </row>
    <row r="8">
      <c r="A8" s="6" t="inlineStr">
        <is>
          <t>Pharmacy</t>
        </is>
      </c>
      <c r="B8" s="6" t="inlineStr">
        <is>
          <t>Apollo</t>
        </is>
      </c>
      <c r="C8" s="7" t="n">
        <v>409</v>
      </c>
      <c r="D8" s="7" t="n">
        <v>399</v>
      </c>
      <c r="E8" s="7" t="n">
        <v>566</v>
      </c>
      <c r="F8" s="7" t="n">
        <v>602</v>
      </c>
      <c r="G8" s="7" t="n">
        <v>793</v>
      </c>
      <c r="H8" s="7" t="n">
        <v>921</v>
      </c>
      <c r="I8" s="7" t="n">
        <v>1552</v>
      </c>
      <c r="J8" s="7" t="n">
        <v>1615</v>
      </c>
      <c r="K8" s="7">
        <f>IF(SUMPRODUCT((Source_Data!$B$2:$B$30="Apollo")*(Source_Data!$O$2:$O$30&lt;&gt;"")*(Source_Data!$P$2:$P$30=""))&gt;0,"Pending",SUMIFS(Source_Data!$N$2:$N$30,Source_Data!$B$2:$B$30,"Apollo")+SUMIFS(Source_Data!$O$2:$O$30,Source_Data!$B$2:$B$30,"Apollo")+SUMIFS(Source_Data!$P$2:$P$30,Source_Data!$B$2:$B$30,"Apollo"))</f>
        <v/>
      </c>
      <c r="L8" s="8">
        <f>IF(ISNUMBER(K8),IF(J8=0,"n/a",(K8-J8)/J8),"Pending")</f>
        <v/>
      </c>
      <c r="M8" s="8">
        <f>IF(AND(ISNUMBER(K8),ISNUMBER(G8),G8&lt;&gt;0),(K8-G8)/G8,"Pending")</f>
        <v/>
      </c>
      <c r="N8" s="5" t="inlineStr">
        <is>
          <t>Q1-26 = Apr+May+Jun-26 (auto from Source_Data)</t>
        </is>
      </c>
    </row>
    <row r="9">
      <c r="A9" s="6" t="inlineStr"/>
      <c r="B9" s="6" t="inlineStr">
        <is>
          <t>Wellness</t>
        </is>
      </c>
      <c r="C9" s="7" t="n">
        <v>268</v>
      </c>
      <c r="D9" s="7" t="n">
        <v>211</v>
      </c>
      <c r="E9" s="7" t="n">
        <v>253</v>
      </c>
      <c r="F9" s="7" t="n">
        <v>259</v>
      </c>
      <c r="G9" s="7" t="n">
        <v>249</v>
      </c>
      <c r="H9" s="7" t="n">
        <v>211</v>
      </c>
      <c r="I9" s="7" t="n">
        <v>271</v>
      </c>
      <c r="J9" s="7" t="n">
        <v>266</v>
      </c>
      <c r="K9" s="7">
        <f>IF(SUMPRODUCT((Source_Data!$B$2:$B$30="Wellness")*(Source_Data!$O$2:$O$30&lt;&gt;"")*(Source_Data!$P$2:$P$30=""))&gt;0,"Pending",SUMIFS(Source_Data!$N$2:$N$30,Source_Data!$B$2:$B$30,"Wellness")+SUMIFS(Source_Data!$O$2:$O$30,Source_Data!$B$2:$B$30,"Wellness")+SUMIFS(Source_Data!$P$2:$P$30,Source_Data!$B$2:$B$30,"Wellness"))</f>
        <v/>
      </c>
      <c r="L9" s="8">
        <f>IF(ISNUMBER(K9),IF(J9=0,"n/a",(K9-J9)/J9),"Pending")</f>
        <v/>
      </c>
      <c r="M9" s="8">
        <f>IF(AND(ISNUMBER(K9),ISNUMBER(G9),G9&lt;&gt;0),(K9-G9)/G9,"Pending")</f>
        <v/>
      </c>
      <c r="N9" s="5" t="inlineStr">
        <is>
          <t>Q1-26 = Apr+May+Jun-26 (auto from Source_Data)</t>
        </is>
      </c>
    </row>
    <row r="10">
      <c r="A10" s="6" t="inlineStr"/>
      <c r="B10" s="6" t="inlineStr">
        <is>
          <t>Others</t>
        </is>
      </c>
      <c r="C10" s="7" t="n">
        <v>9</v>
      </c>
      <c r="D10" s="7" t="n">
        <v>10</v>
      </c>
      <c r="E10" s="7" t="n">
        <v>9</v>
      </c>
      <c r="F10" s="7" t="n">
        <v>11</v>
      </c>
      <c r="G10" s="7" t="n">
        <v>9</v>
      </c>
      <c r="H10" s="7" t="n">
        <v>12</v>
      </c>
      <c r="I10" s="7" t="n">
        <v>19</v>
      </c>
      <c r="J10" s="7" t="n">
        <v>22</v>
      </c>
      <c r="K10" s="7">
        <f>IF(SUMPRODUCT((Source_Data!$B$2:$B$30="Drug-Others")*(Source_Data!$O$2:$O$30&lt;&gt;"")*(Source_Data!$P$2:$P$30=""))&gt;0,"Pending",SUMIFS(Source_Data!$N$2:$N$30,Source_Data!$B$2:$B$30,"Drug-Others")+SUMIFS(Source_Data!$O$2:$O$30,Source_Data!$B$2:$B$30,"Drug-Others")+SUMIFS(Source_Data!$P$2:$P$30,Source_Data!$B$2:$B$30,"Drug-Others"))</f>
        <v/>
      </c>
      <c r="L10" s="8">
        <f>IF(ISNUMBER(K10),IF(J10=0,"n/a",(K10-J10)/J10),"Pending")</f>
        <v/>
      </c>
      <c r="M10" s="8">
        <f>IF(AND(ISNUMBER(K10),ISNUMBER(G10),G10&lt;&gt;0),(K10-G10)/G10,"Pending")</f>
        <v/>
      </c>
      <c r="N10" s="5" t="inlineStr">
        <is>
          <t>Guardian/Arambagh/Frankross; Q1-26 = Apr+May+Jun-26 (auto from Source_Data)</t>
        </is>
      </c>
    </row>
    <row r="11">
      <c r="A11" s="9" t="inlineStr"/>
      <c r="B11" s="9" t="inlineStr">
        <is>
          <t>Drug Total</t>
        </is>
      </c>
      <c r="C11" s="10">
        <f>SUM(C8:C10)</f>
        <v/>
      </c>
      <c r="D11" s="10">
        <f>SUM(D8:D10)</f>
        <v/>
      </c>
      <c r="E11" s="10">
        <f>SUM(E8:E10)</f>
        <v/>
      </c>
      <c r="F11" s="10">
        <f>SUM(F8:F10)</f>
        <v/>
      </c>
      <c r="G11" s="10">
        <f>SUM(G8:G10)</f>
        <v/>
      </c>
      <c r="H11" s="10">
        <f>SUM(H8:H10)</f>
        <v/>
      </c>
      <c r="I11" s="10">
        <f>SUM(I8:I10)</f>
        <v/>
      </c>
      <c r="J11" s="10">
        <f>SUM(J8:J10)</f>
        <v/>
      </c>
      <c r="K11" s="10">
        <f>IF(COUNTIF(K8:K10,"Pending")&gt;0,"Pending",SUM(K8:K10))</f>
        <v/>
      </c>
      <c r="L11" s="11">
        <f>IF(ISNUMBER(K11),IF(J11=0,"n/a",(K11-J11)/J11),"Pending")</f>
        <v/>
      </c>
      <c r="M11" s="11">
        <f>IF(AND(ISNUMBER(K11),ISNUMBER(G11),G11&lt;&gt;0),(K11-G11)/G11,"Pending")</f>
        <v/>
      </c>
      <c r="N11" s="12" t="inlineStr">
        <is>
          <t>Q1-26 = Apr+May+Jun-26 (auto from Source_Data)</t>
        </is>
      </c>
    </row>
    <row r="12">
      <c r="A12" s="6" t="inlineStr">
        <is>
          <t>Regional</t>
        </is>
      </c>
      <c r="B12" s="6" t="inlineStr">
        <is>
          <t>Regional</t>
        </is>
      </c>
      <c r="C12" s="7" t="n">
        <v>173</v>
      </c>
      <c r="D12" s="7" t="n">
        <v>145</v>
      </c>
      <c r="E12" s="7" t="n">
        <v>140</v>
      </c>
      <c r="F12" s="7" t="n">
        <v>131</v>
      </c>
      <c r="G12" s="7" t="n">
        <v>150</v>
      </c>
      <c r="H12" s="7" t="n">
        <v>145</v>
      </c>
      <c r="I12" s="7" t="n">
        <v>119</v>
      </c>
      <c r="J12" s="7" t="n">
        <v>109</v>
      </c>
      <c r="K12" s="7">
        <f>IF(SUMPRODUCT((Source_Data!$B$2:$B$30="Regional")*(Source_Data!$O$2:$O$30&lt;&gt;"")*(Source_Data!$P$2:$P$30=""))&gt;0,"Pending",SUMIFS(Source_Data!$N$2:$N$30,Source_Data!$B$2:$B$30,"Regional")+SUMIFS(Source_Data!$O$2:$O$30,Source_Data!$B$2:$B$30,"Regional")+SUMIFS(Source_Data!$P$2:$P$30,Source_Data!$B$2:$B$30,"Regional"))</f>
        <v/>
      </c>
      <c r="L12" s="8">
        <f>IF(ISNUMBER(K12),IF(J12=0,"n/a",(K12-J12)/J12),"Pending")</f>
        <v/>
      </c>
      <c r="M12" s="8">
        <f>IF(AND(ISNUMBER(K12),ISNUMBER(G12),G12&lt;&gt;0),(K12-G12)/G12,"Pending")</f>
        <v/>
      </c>
      <c r="N12" s="5" t="inlineStr">
        <is>
          <t>Q1-26 = Apr+May+Jun-26 (auto from Source_Data)</t>
        </is>
      </c>
    </row>
    <row r="13">
      <c r="A13" s="6" t="inlineStr">
        <is>
          <t>H&amp;B</t>
        </is>
      </c>
      <c r="B13" s="6" t="inlineStr">
        <is>
          <t>H&amp;B</t>
        </is>
      </c>
      <c r="C13" s="7" t="n">
        <v>218</v>
      </c>
      <c r="D13" s="7" t="n">
        <v>187</v>
      </c>
      <c r="E13" s="7" t="n">
        <v>214</v>
      </c>
      <c r="F13" s="7" t="n">
        <v>224</v>
      </c>
      <c r="G13" s="7" t="n">
        <v>237</v>
      </c>
      <c r="H13" s="7" t="n">
        <v>255</v>
      </c>
      <c r="I13" s="7" t="n">
        <v>206</v>
      </c>
      <c r="J13" s="7" t="n">
        <v>182</v>
      </c>
      <c r="K13" s="7">
        <f>IF(SUMPRODUCT((Source_Data!$B$2:$B$30="H&amp;B")*(Source_Data!$O$2:$O$30&lt;&gt;"")*(Source_Data!$P$2:$P$30=""))&gt;0,"Pending",SUMIFS(Source_Data!$N$2:$N$30,Source_Data!$B$2:$B$30,"H&amp;B")+SUMIFS(Source_Data!$O$2:$O$30,Source_Data!$B$2:$B$30,"H&amp;B")+SUMIFS(Source_Data!$P$2:$P$30,Source_Data!$B$2:$B$30,"H&amp;B"))</f>
        <v/>
      </c>
      <c r="L13" s="8">
        <f>IF(ISNUMBER(K13),IF(J13=0,"n/a",(K13-J13)/J13),"Pending")</f>
        <v/>
      </c>
      <c r="M13" s="8">
        <f>IF(AND(ISNUMBER(K13),ISNUMBER(G13),G13&lt;&gt;0),(K13-G13)/G13,"Pending")</f>
        <v/>
      </c>
      <c r="N13" s="5" t="inlineStr">
        <is>
          <t>Q1-26 = Apr+May+Jun-26 (auto from Source_Data)</t>
        </is>
      </c>
    </row>
    <row r="14">
      <c r="A14" s="6" t="inlineStr">
        <is>
          <t>EB2B</t>
        </is>
      </c>
      <c r="B14" s="6" t="inlineStr">
        <is>
          <t>EB2B</t>
        </is>
      </c>
      <c r="C14" s="7" t="n">
        <v>536</v>
      </c>
      <c r="D14" s="7" t="n">
        <v>458</v>
      </c>
      <c r="E14" s="7" t="n">
        <v>423</v>
      </c>
      <c r="F14" s="7" t="n">
        <v>388</v>
      </c>
      <c r="G14" s="7" t="n">
        <v>523</v>
      </c>
      <c r="H14" s="7" t="n">
        <v>502</v>
      </c>
      <c r="I14" s="7" t="n">
        <v>510</v>
      </c>
      <c r="J14" s="7" t="n">
        <v>505</v>
      </c>
      <c r="K14" s="7">
        <f>IF(SUMPRODUCT((Source_Data!$B$2:$B$30="EB2B")*(Source_Data!$O$2:$O$30&lt;&gt;"")*(Source_Data!$P$2:$P$30=""))&gt;0,"Pending",SUMIFS(Source_Data!$N$2:$N$30,Source_Data!$B$2:$B$30,"EB2B")+SUMIFS(Source_Data!$O$2:$O$30,Source_Data!$B$2:$B$30,"EB2B")+SUMIFS(Source_Data!$P$2:$P$30,Source_Data!$B$2:$B$30,"EB2B"))</f>
        <v/>
      </c>
      <c r="L14" s="8">
        <f>IF(ISNUMBER(K14),IF(J14=0,"n/a",(K14-J14)/J14),"Pending")</f>
        <v/>
      </c>
      <c r="M14" s="8">
        <f>IF(AND(ISNUMBER(K14),ISNUMBER(G14),G14&lt;&gt;0),(K14-G14)/G14,"Pending")</f>
        <v/>
      </c>
      <c r="N14" s="5" t="inlineStr">
        <is>
          <t>Q1-26 = Apr+May+Jun-26 (auto from Source_Data)</t>
        </is>
      </c>
    </row>
    <row r="15">
      <c r="A15" s="6" t="inlineStr">
        <is>
          <t>CNC</t>
        </is>
      </c>
      <c r="B15" s="6" t="inlineStr">
        <is>
          <t>CNC</t>
        </is>
      </c>
      <c r="C15" s="7" t="n">
        <v>226</v>
      </c>
      <c r="D15" s="7" t="n">
        <v>218</v>
      </c>
      <c r="E15" s="7" t="n">
        <v>197</v>
      </c>
      <c r="F15" s="7" t="n">
        <v>214</v>
      </c>
      <c r="G15" s="7" t="n">
        <v>210</v>
      </c>
      <c r="H15" s="7" t="n">
        <v>154</v>
      </c>
      <c r="I15" s="7" t="n">
        <v>244</v>
      </c>
      <c r="J15" s="7" t="n">
        <v>206</v>
      </c>
      <c r="K15" s="7">
        <f>IF(SUMPRODUCT((Source_Data!$B$2:$B$30="CNC")*(Source_Data!$O$2:$O$30&lt;&gt;"")*(Source_Data!$P$2:$P$30=""))&gt;0,"Pending",SUMIFS(Source_Data!$N$2:$N$30,Source_Data!$B$2:$B$30,"CNC")+SUMIFS(Source_Data!$O$2:$O$30,Source_Data!$B$2:$B$30,"CNC")+SUMIFS(Source_Data!$P$2:$P$30,Source_Data!$B$2:$B$30,"CNC"))</f>
        <v/>
      </c>
      <c r="L15" s="8">
        <f>IF(ISNUMBER(K15),IF(J15=0,"n/a",(K15-J15)/J15),"Pending")</f>
        <v/>
      </c>
      <c r="M15" s="8">
        <f>IF(AND(ISNUMBER(K15),ISNUMBER(G15),G15&lt;&gt;0),(K15-G15)/G15,"Pending")</f>
        <v/>
      </c>
      <c r="N15" s="5" t="inlineStr">
        <is>
          <t>Q1-26 = Apr+May+Jun-26 (auto from Source_Data)</t>
        </is>
      </c>
    </row>
    <row r="16">
      <c r="A16" s="6" t="inlineStr">
        <is>
          <t>SIS</t>
        </is>
      </c>
      <c r="B16" s="6" t="inlineStr">
        <is>
          <t>SIS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inlineStr">
        <is>
          <t>Source data required</t>
        </is>
      </c>
      <c r="L16" s="8" t="inlineStr">
        <is>
          <t>Pending</t>
        </is>
      </c>
      <c r="M16" s="8" t="inlineStr">
        <is>
          <t>Pending</t>
        </is>
      </c>
      <c r="N16" s="5" t="inlineStr">
        <is>
          <t>NEW format added - no SIS source data provided yet</t>
        </is>
      </c>
    </row>
    <row r="17">
      <c r="A17" s="9" t="inlineStr"/>
      <c r="B17" s="9" t="inlineStr">
        <is>
          <t>Grand Total</t>
        </is>
      </c>
      <c r="C17" s="10">
        <f>SUM(C7,C11,C12:C16)</f>
        <v/>
      </c>
      <c r="D17" s="10">
        <f>SUM(D7,D11,D12:D16)</f>
        <v/>
      </c>
      <c r="E17" s="10">
        <f>SUM(E7,E11,E12:E16)</f>
        <v/>
      </c>
      <c r="F17" s="10">
        <f>SUM(F7,F11,F12:F16)</f>
        <v/>
      </c>
      <c r="G17" s="10">
        <f>SUM(G7,G11,G12:G16)</f>
        <v/>
      </c>
      <c r="H17" s="10">
        <f>SUM(H7,H11,H12:H16)</f>
        <v/>
      </c>
      <c r="I17" s="10">
        <f>SUM(I7,I11,I12:I16)</f>
        <v/>
      </c>
      <c r="J17" s="10">
        <f>SUM(J7,J11,J12:J16)</f>
        <v/>
      </c>
      <c r="K17" s="10">
        <f>IF(OR(K7="Pending",K11="Pending",K12="Pending",K13="Pending",K14="Pending",K15="Pending"),"Pending",SUM(K7,K11,K12,K13,K14,K15))</f>
        <v/>
      </c>
      <c r="L17" s="11">
        <f>IF(ISNUMBER(K17),IF(J17=0,"n/a",(K17-J17)/J17),"Pending")</f>
        <v/>
      </c>
      <c r="M17" s="11">
        <f>IF(AND(ISNUMBER(K17),ISNUMBER(G17),G17&lt;&gt;0),(K17-G17)/G17,"Pending")</f>
        <v/>
      </c>
      <c r="N17" s="12" t="inlineStr">
        <is>
          <t>Q1-26 Pending until all chains report Jun-26</t>
        </is>
      </c>
    </row>
  </sheetData>
  <conditionalFormatting sqref="L2:M17">
    <cfRule type="expression" priority="1" dxfId="0">
      <formula>AND(ISNUMBER(L2),L2&gt;0)</formula>
    </cfRule>
    <cfRule type="expression" priority="2" dxfId="1">
      <formula>AND(ISNUMBER(L2),L2&lt;0)</formula>
    </cfRule>
    <cfRule type="expression" priority="3" dxfId="2">
      <formula>L2="Pending"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MT Total Sales - Quarterly Trend (Grand Total, incl. Others)</t>
        </is>
      </c>
    </row>
    <row r="2">
      <c r="A2" s="14" t="inlineStr">
        <is>
          <t>Auto-linked to Summary!Grand Total. Q1-26 is 'Pending' (no plotted point) until every chain's Jun-26 is pasted into Source_Data; the point then appears automatically.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5" t="inlineStr">
        <is>
          <t>QC &amp; VERIFICATION LOG - MT Sales Summary</t>
        </is>
      </c>
    </row>
    <row r="3">
      <c r="A3" s="16" t="inlineStr">
        <is>
          <t>Key fixes applied</t>
        </is>
      </c>
    </row>
    <row r="4">
      <c r="A4" s="14" t="inlineStr">
        <is>
          <t>1. Root cause of -100%: Q1-26 was blank but treated as 0 in QoQ. Fixed: blank Jun-26 -&gt; row shows 'Pending', QoQ shows 'Pending' (never -100%).</t>
        </is>
      </c>
    </row>
    <row r="5">
      <c r="A5" s="14" t="inlineStr">
        <is>
          <t>2. Quarter logic confirmed: Q1=Apr-Jun, Q2=Jul-Sep, Q3=Oct-Dec, Q4=Jan-Mar; FY label = start year (Apr-26 =&gt; Q1-26). Verified: D-Mart Q4-25 = Jan+Feb+Mar-26 = 967+928+1226 = 3121 (matches).</t>
        </is>
      </c>
    </row>
    <row r="6">
      <c r="A6" s="14" t="inlineStr">
        <is>
          <t>3. SIS format row ADDED to the summary (was missing). No SIS source data yet -&gt; 'Source data required'.</t>
        </is>
      </c>
    </row>
    <row r="7">
      <c r="A7" s="14" t="inlineStr">
        <is>
          <t>4. Chart labels corrected (old chart mislabelled Q4-25/Q1-25 order and ended at 'Q4-26'). Now Q1-24..Q1-26, auto-linked.</t>
        </is>
      </c>
    </row>
    <row r="8">
      <c r="A8" s="14" t="inlineStr">
        <is>
          <t>5. Q1-26 column is now SUMIFS-driven from Source_Data -&gt; pasting Jun-26 auto-updates table + chart. Historical Q1-24..Q4-25 kept as verified values.</t>
        </is>
      </c>
    </row>
    <row r="10">
      <c r="A10" s="16" t="inlineStr">
        <is>
          <t>Quarter -&gt; Month mapping</t>
        </is>
      </c>
    </row>
    <row r="11">
      <c r="A11" s="16" t="inlineStr">
        <is>
          <t>Quarter</t>
        </is>
      </c>
      <c r="B11" s="16" t="inlineStr">
        <is>
          <t>Months</t>
        </is>
      </c>
    </row>
    <row r="12">
      <c r="A12" s="14" t="inlineStr">
        <is>
          <t>Q2-25</t>
        </is>
      </c>
      <c r="B12" s="14" t="inlineStr">
        <is>
          <t>Jul-25, Aug-25, Sep-25</t>
        </is>
      </c>
    </row>
    <row r="13">
      <c r="A13" s="14" t="inlineStr">
        <is>
          <t>Q3-25</t>
        </is>
      </c>
      <c r="B13" s="14" t="inlineStr">
        <is>
          <t>Oct-25, Nov-25, Dec-25</t>
        </is>
      </c>
    </row>
    <row r="14">
      <c r="A14" s="14" t="inlineStr">
        <is>
          <t>Q4-25</t>
        </is>
      </c>
      <c r="B14" s="14" t="inlineStr">
        <is>
          <t>Jan-26, Feb-26, Mar-26</t>
        </is>
      </c>
    </row>
    <row r="15">
      <c r="A15" s="14" t="inlineStr">
        <is>
          <t>Q1-26</t>
        </is>
      </c>
      <c r="B15" s="14" t="inlineStr">
        <is>
          <t>Apr-26, May-26, Jun-26</t>
        </is>
      </c>
    </row>
    <row r="17">
      <c r="A17" s="16" t="inlineStr">
        <is>
          <t>Pending Jun-26 (chains missing -&gt; Q1-26 not final)</t>
        </is>
      </c>
    </row>
    <row r="18">
      <c r="A18" s="16" t="inlineStr">
        <is>
          <t>Live count of chains with May-26 filled but Jun-26 blank:</t>
        </is>
      </c>
      <c r="B18" s="16">
        <f>SUMPRODUCT((Source_Data!$O$2:$O$30&lt;&gt;"")*(Source_Data!$P$2:$P$30=""))</f>
        <v/>
      </c>
    </row>
    <row r="19">
      <c r="A19" s="14" t="inlineStr">
        <is>
          <t>Chains pending Jun-26:</t>
        </is>
      </c>
      <c r="B19" s="14" t="inlineStr">
        <is>
          <t>Reliance, More Retail, Spencer, Trent, Apollo, Arambagh, Ratandeep, Wh-Smith, Metro Cnc, Walmart Cnc</t>
        </is>
      </c>
    </row>
    <row r="21">
      <c r="A21" s="16" t="inlineStr">
        <is>
          <t>Source-recomputed vs Screenshot-1 (Grand Total) - mismatch check</t>
        </is>
      </c>
    </row>
    <row r="22">
      <c r="A22" s="16" t="inlineStr">
        <is>
          <t>Quarter</t>
        </is>
      </c>
      <c r="B22" s="16" t="inlineStr">
        <is>
          <t>Source (recomputed)</t>
        </is>
      </c>
      <c r="C22" s="16" t="inlineStr">
        <is>
          <t>Screenshot-1</t>
        </is>
      </c>
      <c r="D22" s="16" t="inlineStr">
        <is>
          <t>Diff</t>
        </is>
      </c>
      <c r="E22" s="16" t="inlineStr">
        <is>
          <t>Note</t>
        </is>
      </c>
    </row>
    <row r="23">
      <c r="A23" s="14" t="inlineStr">
        <is>
          <t>Q2-25</t>
        </is>
      </c>
      <c r="B23" s="14" t="n">
        <v>6730</v>
      </c>
      <c r="C23" s="14" t="n">
        <v>6729</v>
      </c>
      <c r="D23" s="14" t="n">
        <v>1</v>
      </c>
      <c r="E23" s="14" t="inlineStr">
        <is>
          <t>rounding (&lt;0.3%)</t>
        </is>
      </c>
    </row>
    <row r="24">
      <c r="A24" s="14" t="inlineStr">
        <is>
          <t>Q3-25</t>
        </is>
      </c>
      <c r="B24" s="14" t="n">
        <v>8363</v>
      </c>
      <c r="C24" s="14" t="n">
        <v>8349</v>
      </c>
      <c r="D24" s="14" t="n">
        <v>14</v>
      </c>
      <c r="E24" s="14" t="inlineStr">
        <is>
          <t>rounding (&lt;0.3%)</t>
        </is>
      </c>
    </row>
    <row r="25">
      <c r="A25" s="14" t="inlineStr">
        <is>
          <t>Q4-25</t>
        </is>
      </c>
      <c r="B25" s="14" t="n">
        <v>9034</v>
      </c>
      <c r="C25" s="14" t="n">
        <v>9015</v>
      </c>
      <c r="D25" s="14" t="n">
        <v>19</v>
      </c>
      <c r="E25" s="14" t="inlineStr">
        <is>
          <t>rounding (&lt;0.3%)</t>
        </is>
      </c>
    </row>
    <row r="26">
      <c r="A26" s="14" t="inlineStr">
        <is>
          <t>Q1-26</t>
        </is>
      </c>
      <c r="B26" s="14" t="inlineStr">
        <is>
          <t>partial/pending</t>
        </is>
      </c>
      <c r="C26" s="14" t="inlineStr">
        <is>
          <t>blank</t>
        </is>
      </c>
      <c r="D26" s="14" t="inlineStr">
        <is>
          <t>-</t>
        </is>
      </c>
      <c r="E26" s="14" t="inlineStr">
        <is>
          <t>Jun-26 incomplete -&gt; pending</t>
        </is>
      </c>
    </row>
    <row r="28">
      <c r="A28" s="16" t="inlineStr">
        <is>
          <t>Mapping gaps / assumptions to confirm</t>
        </is>
      </c>
    </row>
    <row r="29">
      <c r="A29" s="16" t="inlineStr">
        <is>
          <t>Item</t>
        </is>
      </c>
      <c r="B29" s="16" t="inlineStr">
        <is>
          <t>Status</t>
        </is>
      </c>
    </row>
    <row r="30">
      <c r="A30" s="14" t="inlineStr">
        <is>
          <t>Spar</t>
        </is>
      </c>
      <c r="B30" s="14" t="inlineStr">
        <is>
          <t>Not in mapping sheet - tentatively HS-Others (Others). Confirm.</t>
        </is>
      </c>
    </row>
    <row r="31">
      <c r="A31" s="14" t="inlineStr">
        <is>
          <t>BEAUTY &amp; NUTRIE</t>
        </is>
      </c>
      <c r="B31" s="14" t="inlineStr">
        <is>
          <t>Not in mapping sheet - tentatively H&amp;B (Others). Confirm.</t>
        </is>
      </c>
    </row>
    <row r="32">
      <c r="A32" s="14" t="inlineStr">
        <is>
          <t>National Mart / Sumo Save / Apna Mart</t>
        </is>
      </c>
      <c r="B32" s="14" t="inlineStr">
        <is>
          <t>Not in mapping - tentatively Regional (Others). Confirm.</t>
        </is>
      </c>
    </row>
    <row r="33">
      <c r="A33" s="14" t="inlineStr">
        <is>
          <t>Ratanadeep vs Ratandeep</t>
        </is>
      </c>
      <c r="B33" s="14" t="inlineStr">
        <is>
          <t>Possible duplicate spelling in source - confirm single chain.</t>
        </is>
      </c>
    </row>
    <row r="34">
      <c r="A34" s="14" t="inlineStr">
        <is>
          <t>Max Hyper</t>
        </is>
      </c>
      <c r="B34" s="14" t="inlineStr">
        <is>
          <t>In mapping (HS-Others) but no data column in source screenshot.</t>
        </is>
      </c>
    </row>
    <row r="35">
      <c r="A35" s="14" t="inlineStr">
        <is>
          <t>SIS</t>
        </is>
      </c>
      <c r="B35" s="14" t="inlineStr">
        <is>
          <t>Format added; no chains mapped and no source data. Provide SIS chains + values.</t>
        </is>
      </c>
    </row>
    <row r="37">
      <c r="A37" s="16" t="inlineStr">
        <is>
          <t>Data considered / not considered</t>
        </is>
      </c>
    </row>
    <row r="38">
      <c r="A38" s="14" t="inlineStr">
        <is>
          <t>Considered</t>
        </is>
      </c>
      <c r="B38" s="14" t="inlineStr">
        <is>
          <t>MT channel only. All chains in Source_Data mapped to a Summary Bucket; 'Others' kept inside format totals.</t>
        </is>
      </c>
    </row>
    <row r="39">
      <c r="A39" s="14" t="inlineStr">
        <is>
          <t>Not considered</t>
        </is>
      </c>
      <c r="B39" s="14" t="inlineStr">
        <is>
          <t>GT (General Trade) data - excluded per scope. Blank/pending months - excluded from sums (not zero-filled).</t>
        </is>
      </c>
    </row>
  </sheetData>
  <mergeCells count="13">
    <mergeCell ref="B31:E31"/>
    <mergeCell ref="A4:E4"/>
    <mergeCell ref="B35:E35"/>
    <mergeCell ref="A7:E7"/>
    <mergeCell ref="B34:E34"/>
    <mergeCell ref="B30:E30"/>
    <mergeCell ref="B33:E33"/>
    <mergeCell ref="A1:E1"/>
    <mergeCell ref="A5:E5"/>
    <mergeCell ref="B19:E19"/>
    <mergeCell ref="A8:E8"/>
    <mergeCell ref="A6:E6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2026-07-10T08:19:49Z</dcterms:created>
  <dcterms:modified xsi:type="dcterms:W3CDTF">2026-07-10T08:19:49Z</dcterms:modified>
</cp:coreProperties>
</file>