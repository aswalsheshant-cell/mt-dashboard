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Control Panel" sheetId="2" state="visible" r:id="rId2"/>
    <sheet name="Forecast Engine" sheetId="3" state="visible" r:id="rId3"/>
    <sheet name="Forecast Plan Article-Chain" sheetId="4" state="visible" r:id="rId4"/>
    <sheet name="Scenario Summary" sheetId="5" state="visible" r:id="rId5"/>
    <sheet name="AI Business Insights" sheetId="6" state="visible" r:id="rId6"/>
    <sheet name="Demand Planner Workbench" sheetId="7" state="visible" r:id="rId7"/>
    <sheet name="Business_Event_Master" sheetId="8" state="visible" r:id="rId8"/>
    <sheet name="Event Impact Engine" sheetId="9" state="visible" r:id="rId9"/>
    <sheet name="Event Impact Dashboard" sheetId="10" state="visible" r:id="rId10"/>
    <sheet name="Event AI Recommendations" sheetId="11" state="visible" r:id="rId11"/>
    <sheet name="Event Calendar" sheetId="12" state="visible" r:id="rId12"/>
    <sheet name="Event Simulator" sheetId="13" state="visible" r:id="rId13"/>
    <sheet name="Chain Event Library" sheetId="14" state="visible" r:id="rId14"/>
    <sheet name="Article Event Library" sheetId="15" state="visible" r:id="rId15"/>
    <sheet name="Demand Driver Library" sheetId="16" state="visible" r:id="rId16"/>
    <sheet name="Event Settings" sheetId="17" state="visible" r:id="rId17"/>
    <sheet name="Target Distribution" sheetId="18" state="visible" r:id="rId18"/>
    <sheet name="Primary Planning" sheetId="19" state="visible" r:id="rId19"/>
    <sheet name="Distributor Intelligence" sheetId="20" state="visible" r:id="rId20"/>
    <sheet name="Warehouse Optimization" sheetId="21" state="visible" r:id="rId21"/>
    <sheet name="Forecast Accuracy" sheetId="22" state="visible" r:id="rId22"/>
    <sheet name="Monthly Target Upload" sheetId="23" state="visible" r:id="rId23"/>
    <sheet name="Primary Sales History" sheetId="24" state="visible" r:id="rId24"/>
    <sheet name="Offtake History" sheetId="25" state="visible" r:id="rId25"/>
    <sheet name="Distributor Master" sheetId="26" state="visible" r:id="rId26"/>
    <sheet name="NPI &amp; EPD Planning" sheetId="27" state="visible" r:id="rId27"/>
    <sheet name="Promotion Calendar" sheetId="28" state="visible" r:id="rId28"/>
    <sheet name="Seasonality Matrix" sheetId="29" state="visible" r:id="rId29"/>
    <sheet name="Calendar" sheetId="30" state="visible" r:id="rId30"/>
    <sheet name="Documentation" sheetId="31" state="visible" r:id="rId31"/>
  </sheets>
  <definedNames>
    <definedName name="_xlnm._FilterDatabase" localSheetId="3" hidden="1">'Forecast Plan Article-Chain'!$A$3:$L$281</definedName>
  </definedNames>
  <calcPr calcId="124519" calcMode="auto" fullCalcOnLoad="1"/>
</workbook>
</file>

<file path=xl/styles.xml><?xml version="1.0" encoding="utf-8"?>
<styleSheet xmlns="http://schemas.openxmlformats.org/spreadsheetml/2006/main">
  <numFmts count="4">
    <numFmt numFmtId="164" formatCode="0.0%;(0.0%);&quot;-&quot;"/>
    <numFmt numFmtId="165" formatCode="#,##0.0;(#,##0.0);&quot;-&quot;"/>
    <numFmt numFmtId="166" formatCode="#,##0.00;(#,##0.00);&quot;-&quot;"/>
    <numFmt numFmtId="167" formatCode="#,##0;(#,##0);&quot;-&quot;"/>
  </numFmts>
  <fonts count="47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FFFFFF"/>
      <sz val="9.5"/>
    </font>
    <font>
      <name val="Arial"/>
      <color rgb="00000000"/>
      <sz val="9"/>
    </font>
    <font>
      <name val="Arial"/>
      <b val="1"/>
      <color rgb="00FFFFFF"/>
      <sz val="11"/>
    </font>
    <font>
      <name val="Arial"/>
      <b val="1"/>
      <color rgb="00000000"/>
      <sz val="9.5"/>
    </font>
    <font>
      <name val="Arial"/>
      <color rgb="000000FF"/>
      <sz val="9.5"/>
    </font>
    <font>
      <name val="Arial"/>
      <b val="1"/>
      <i val="1"/>
      <color rgb="00000000"/>
      <sz val="9.5"/>
    </font>
    <font>
      <name val="Arial"/>
      <color rgb="00000000"/>
      <sz val="10"/>
    </font>
    <font>
      <name val="Arial"/>
      <b val="1"/>
      <color rgb="000000FF"/>
      <sz val="10"/>
    </font>
    <font>
      <name val="Arial"/>
      <i val="1"/>
      <color rgb="00808080"/>
      <sz val="8.5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00"/>
      <sz val="9.5"/>
    </font>
    <font>
      <name val="Arial"/>
      <b val="1"/>
      <color rgb="00000000"/>
      <sz val="9"/>
    </font>
    <font>
      <name val="Arial"/>
      <color rgb="000000FF"/>
      <sz val="9"/>
    </font>
    <font>
      <name val="Arial"/>
      <b val="1"/>
      <color rgb="00FFFFFF"/>
      <sz val="8.5"/>
    </font>
    <font>
      <name val="Arial"/>
      <i val="1"/>
      <color rgb="00808080"/>
      <sz val="9"/>
    </font>
    <font>
      <name val="Arial"/>
      <color rgb="00000000"/>
      <sz val="8"/>
    </font>
    <font>
      <name val="Arial"/>
      <b val="1"/>
      <color rgb="001F3864"/>
      <sz val="9"/>
    </font>
    <font>
      <name val="Arial"/>
      <b val="1"/>
      <color rgb="00006100"/>
      <sz val="9"/>
    </font>
    <font>
      <name val="Arial"/>
      <i val="1"/>
      <color rgb="00000000"/>
      <sz val="9"/>
    </font>
    <font>
      <name val="Arial"/>
      <b val="1"/>
      <color rgb="00C00000"/>
      <sz val="10"/>
    </font>
    <font>
      <name val="Arial"/>
      <color rgb="00C00000"/>
      <sz val="10"/>
    </font>
    <font>
      <name val="Arial"/>
      <color rgb="00000000"/>
      <sz val="8.5"/>
    </font>
    <font>
      <name val="Arial"/>
      <color rgb="000000FF"/>
      <sz val="8.5"/>
    </font>
    <font>
      <name val="Arial"/>
      <b val="1"/>
      <color rgb="00000000"/>
      <sz val="8.5"/>
    </font>
    <font>
      <name val="Arial"/>
      <b val="1"/>
      <color rgb="001F3864"/>
      <sz val="12"/>
    </font>
    <font>
      <name val="Arial"/>
      <color rgb="00006100"/>
      <sz val="9"/>
    </font>
    <font>
      <name val="Arial"/>
      <b val="1"/>
      <color rgb="00C00000"/>
      <sz val="9.5"/>
    </font>
    <font>
      <name val="Arial"/>
      <color rgb="00C00000"/>
      <sz val="9"/>
    </font>
    <font>
      <name val="Arial"/>
      <b val="1"/>
      <color rgb="001F3864"/>
      <sz val="10"/>
    </font>
    <font>
      <name val="Arial"/>
      <i val="1"/>
      <color rgb="00808080"/>
      <sz val="10"/>
    </font>
    <font>
      <name val="Arial"/>
      <b val="1"/>
      <color rgb="002E5496"/>
      <sz val="16"/>
    </font>
    <font>
      <name val="Arial"/>
      <b val="1"/>
      <color rgb="001F3864"/>
      <sz val="16"/>
    </font>
    <font>
      <name val="Arial"/>
      <b val="1"/>
      <color rgb="00C00000"/>
      <sz val="16"/>
    </font>
    <font>
      <name val="Arial"/>
      <b val="1"/>
      <color rgb="001F3864"/>
      <sz val="11"/>
    </font>
    <font>
      <name val="Arial"/>
      <b val="1"/>
      <color rgb="002E5496"/>
      <sz val="11"/>
    </font>
    <font>
      <name val="Arial"/>
      <color rgb="00006100"/>
      <sz val="10"/>
    </font>
    <font>
      <name val="Arial"/>
      <b val="1"/>
      <color rgb="00FFFFFF"/>
      <sz val="9"/>
    </font>
    <font>
      <name val="Arial"/>
      <color rgb="00808080"/>
      <sz val="8.5"/>
    </font>
    <font>
      <name val="Arial"/>
      <b val="1"/>
      <color rgb="001F3864"/>
      <sz val="9.5"/>
    </font>
    <font>
      <name val="Arial"/>
      <color rgb="002E5496"/>
      <sz val="9"/>
    </font>
    <font>
      <name val="Arial"/>
      <b val="1"/>
      <color rgb="001F3864"/>
      <sz val="15"/>
    </font>
    <font>
      <name val="Arial"/>
      <b val="1"/>
      <color rgb="002E5496"/>
      <sz val="15"/>
    </font>
    <font>
      <name val="Arial"/>
      <b val="1"/>
      <color rgb="001F6F3C"/>
      <sz val="15"/>
    </font>
    <font>
      <name val="Arial"/>
      <i val="1"/>
      <color rgb="00000000"/>
      <sz val="9.5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C00000"/>
      </patternFill>
    </fill>
    <fill>
      <patternFill patternType="solid">
        <fgColor rgb="001F6F3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2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3" fillId="0" borderId="1" applyAlignment="1" pivotButton="0" quotePrefix="0" xfId="0">
      <alignment horizontal="center" vertical="center" wrapText="1"/>
    </xf>
    <xf numFmtId="166" fontId="34" fillId="0" borderId="1" applyAlignment="1" pivotButton="0" quotePrefix="0" xfId="0">
      <alignment horizontal="center" vertical="center" wrapText="1"/>
    </xf>
    <xf numFmtId="166" fontId="35" fillId="0" borderId="1" applyAlignment="1" pivotButton="0" quotePrefix="0" xfId="0">
      <alignment horizontal="center" vertical="center" wrapText="1"/>
    </xf>
    <xf numFmtId="0" fontId="36" fillId="0" borderId="0" pivotButton="0" quotePrefix="0" xfId="0"/>
    <xf numFmtId="0" fontId="37" fillId="0" borderId="0" pivotButton="0" quotePrefix="0" xfId="0"/>
    <xf numFmtId="0" fontId="4" fillId="3" borderId="0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166" fontId="0" fillId="0" borderId="1" pivotButton="0" quotePrefix="0" xfId="0"/>
    <xf numFmtId="166" fontId="5" fillId="0" borderId="1" pivotButton="0" quotePrefix="0" xfId="0"/>
    <xf numFmtId="164" fontId="0" fillId="0" borderId="1" pivotButton="0" quotePrefix="0" xfId="0"/>
    <xf numFmtId="0" fontId="5" fillId="0" borderId="1" pivotButton="0" quotePrefix="0" xfId="0"/>
    <xf numFmtId="166" fontId="5" fillId="5" borderId="1" pivotButton="0" quotePrefix="0" xfId="0"/>
    <xf numFmtId="0" fontId="38" fillId="0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wrapText="1"/>
    </xf>
    <xf numFmtId="164" fontId="9" fillId="4" borderId="1" applyAlignment="1" pivotButton="0" quotePrefix="0" xfId="0">
      <alignment horizontal="center" vertical="center" wrapText="1"/>
    </xf>
    <xf numFmtId="0" fontId="12" fillId="0" borderId="0" pivotButton="0" quotePrefix="0" xfId="0"/>
    <xf numFmtId="164" fontId="11" fillId="0" borderId="1" pivotButton="0" quotePrefix="0" xfId="0"/>
    <xf numFmtId="2" fontId="9" fillId="4" borderId="1" applyAlignment="1" pivotButton="0" quotePrefix="0" xfId="0">
      <alignment horizontal="center" vertical="center" wrapText="1"/>
    </xf>
    <xf numFmtId="2" fontId="11" fillId="0" borderId="1" applyAlignment="1" pivotButton="0" quotePrefix="0" xfId="0">
      <alignment horizontal="center" vertical="center" wrapText="1"/>
    </xf>
    <xf numFmtId="165" fontId="9" fillId="4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17" fillId="0" borderId="1" pivotButton="0" quotePrefix="0" xfId="0"/>
    <xf numFmtId="164" fontId="15" fillId="4" borderId="1" pivotButton="0" quotePrefix="0" xfId="0"/>
    <xf numFmtId="166" fontId="3" fillId="0" borderId="1" pivotButton="0" quotePrefix="0" xfId="0"/>
    <xf numFmtId="166" fontId="14" fillId="0" borderId="1" pivotButton="0" quotePrefix="0" xfId="0"/>
    <xf numFmtId="166" fontId="19" fillId="5" borderId="1" pivotButton="0" quotePrefix="0" xfId="0"/>
    <xf numFmtId="166" fontId="18" fillId="0" borderId="1" applyAlignment="1" pivotButton="0" quotePrefix="0" xfId="0">
      <alignment horizontal="right" vertical="center"/>
    </xf>
    <xf numFmtId="0" fontId="11" fillId="0" borderId="1" pivotButton="0" quotePrefix="0" xfId="0"/>
    <xf numFmtId="0" fontId="24" fillId="0" borderId="1" applyAlignment="1" pivotButton="0" quotePrefix="0" xfId="0">
      <alignment horizontal="left" vertical="center" wrapText="1"/>
    </xf>
    <xf numFmtId="0" fontId="24" fillId="0" borderId="1" pivotButton="0" quotePrefix="0" xfId="0"/>
    <xf numFmtId="0" fontId="24" fillId="0" borderId="1" applyAlignment="1" pivotButton="0" quotePrefix="0" xfId="0">
      <alignment horizontal="center" vertical="center" wrapText="1"/>
    </xf>
    <xf numFmtId="166" fontId="25" fillId="4" borderId="1" applyAlignment="1" pivotButton="0" quotePrefix="0" xfId="0">
      <alignment horizontal="right" vertical="center"/>
    </xf>
    <xf numFmtId="166" fontId="26" fillId="0" borderId="1" pivotButton="0" quotePrefix="0" xfId="0"/>
    <xf numFmtId="0" fontId="21" fillId="0" borderId="0" pivotButton="0" quotePrefix="0" xfId="0"/>
    <xf numFmtId="166" fontId="14" fillId="0" borderId="0" pivotButton="0" quotePrefix="0" xfId="0"/>
    <xf numFmtId="0" fontId="21" fillId="0" borderId="1" pivotButton="0" quotePrefix="0" xfId="0"/>
    <xf numFmtId="0" fontId="2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166" fontId="8" fillId="0" borderId="1" pivotButton="0" quotePrefix="0" xfId="0"/>
    <xf numFmtId="166" fontId="11" fillId="0" borderId="1" pivotButton="0" quotePrefix="0" xfId="0"/>
    <xf numFmtId="0" fontId="22" fillId="6" borderId="1" pivotButton="0" quotePrefix="0" xfId="0"/>
    <xf numFmtId="166" fontId="23" fillId="6" borderId="1" pivotButton="0" quotePrefix="0" xfId="0"/>
    <xf numFmtId="166" fontId="22" fillId="6" borderId="1" pivotButton="0" quotePrefix="0" xfId="0"/>
    <xf numFmtId="0" fontId="8" fillId="0" borderId="0" pivotButton="0" quotePrefix="0" xfId="0"/>
    <xf numFmtId="0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13" fillId="0" borderId="0" pivotButton="0" quotePrefix="0" xfId="0"/>
    <xf numFmtId="0" fontId="15" fillId="4" borderId="1" pivotButton="0" quotePrefix="0" xfId="0"/>
    <xf numFmtId="166" fontId="15" fillId="4" borderId="1" pivotButton="0" quotePrefix="0" xfId="0"/>
    <xf numFmtId="0" fontId="0" fillId="4" borderId="1" pivotButton="0" quotePrefix="0" xfId="0"/>
    <xf numFmtId="0" fontId="11" fillId="0" borderId="0" applyAlignment="1" pivotButton="0" quotePrefix="0" xfId="0">
      <alignment horizontal="right" vertical="center"/>
    </xf>
    <xf numFmtId="166" fontId="11" fillId="0" borderId="0" pivotButton="0" quotePrefix="0" xfId="0"/>
    <xf numFmtId="0" fontId="25" fillId="4" borderId="1" applyAlignment="1" pivotButton="0" quotePrefix="0" xfId="0">
      <alignment horizontal="center" vertical="center" wrapText="1"/>
    </xf>
    <xf numFmtId="0" fontId="25" fillId="4" borderId="1" applyAlignment="1" pivotButton="0" quotePrefix="0" xfId="0">
      <alignment horizontal="left" vertical="center" wrapText="1"/>
    </xf>
    <xf numFmtId="164" fontId="25" fillId="4" borderId="1" applyAlignment="1" pivotButton="0" quotePrefix="0" xfId="0">
      <alignment horizontal="center" vertical="center" wrapText="1"/>
    </xf>
    <xf numFmtId="167" fontId="25" fillId="4" borderId="1" applyAlignment="1" pivotButton="0" quotePrefix="0" xfId="0">
      <alignment horizontal="center" vertical="center" wrapText="1"/>
    </xf>
    <xf numFmtId="2" fontId="24" fillId="0" borderId="1" applyAlignment="1" pivotButton="0" quotePrefix="0" xfId="0">
      <alignment horizontal="center" vertical="center" wrapText="1"/>
    </xf>
    <xf numFmtId="164" fontId="24" fillId="0" borderId="1" applyAlignment="1" pivotButton="0" quotePrefix="0" xfId="0">
      <alignment horizontal="center" vertical="center" wrapText="1"/>
    </xf>
    <xf numFmtId="166" fontId="24" fillId="0" borderId="1" applyAlignment="1" pivotButton="0" quotePrefix="0" xfId="0">
      <alignment horizontal="center" vertical="center" wrapText="1"/>
    </xf>
    <xf numFmtId="166" fontId="19" fillId="0" borderId="1" applyAlignment="1" pivotButton="0" quotePrefix="0" xfId="0">
      <alignment horizontal="center" vertical="center" wrapText="1"/>
    </xf>
    <xf numFmtId="167" fontId="24" fillId="0" borderId="1" applyAlignment="1" pivotButton="0" quotePrefix="0" xfId="0">
      <alignment horizontal="center" vertical="center" wrapText="1"/>
    </xf>
    <xf numFmtId="166" fontId="41" fillId="0" borderId="1" pivotButton="0" quotePrefix="0" xfId="0"/>
    <xf numFmtId="164" fontId="5" fillId="5" borderId="1" pivotButton="0" quotePrefix="0" xfId="0"/>
    <xf numFmtId="0" fontId="39" fillId="2" borderId="1" applyAlignment="1" pivotButton="0" quotePrefix="0" xfId="0">
      <alignment horizontal="center" vertical="center" wrapText="1"/>
    </xf>
    <xf numFmtId="0" fontId="39" fillId="3" borderId="1" applyAlignment="1" pivotButton="0" quotePrefix="0" xfId="0">
      <alignment horizontal="center" vertical="center" wrapText="1"/>
    </xf>
    <xf numFmtId="0" fontId="39" fillId="8" borderId="1" applyAlignment="1" pivotButton="0" quotePrefix="0" xfId="0">
      <alignment horizontal="center" vertical="center" wrapText="1"/>
    </xf>
    <xf numFmtId="166" fontId="43" fillId="0" borderId="1" applyAlignment="1" pivotButton="0" quotePrefix="0" xfId="0">
      <alignment horizontal="center" vertical="center" wrapText="1"/>
    </xf>
    <xf numFmtId="167" fontId="44" fillId="0" borderId="1" applyAlignment="1" pivotButton="0" quotePrefix="0" xfId="0">
      <alignment horizontal="center" vertical="center" wrapText="1"/>
    </xf>
    <xf numFmtId="166" fontId="45" fillId="0" borderId="1" applyAlignment="1" pivotButton="0" quotePrefix="0" xfId="0">
      <alignment horizontal="center" vertical="center" wrapText="1"/>
    </xf>
    <xf numFmtId="164" fontId="44" fillId="0" borderId="1" applyAlignment="1" pivotButton="0" quotePrefix="0" xfId="0">
      <alignment horizontal="center" vertical="center" wrapText="1"/>
    </xf>
    <xf numFmtId="0" fontId="11" fillId="0" borderId="0" pivotButton="0" quotePrefix="0" xfId="0"/>
    <xf numFmtId="166" fontId="36" fillId="5" borderId="1" pivotButton="0" quotePrefix="0" xfId="0"/>
    <xf numFmtId="164" fontId="36" fillId="5" borderId="1" pivotButton="0" quotePrefix="0" xfId="0"/>
    <xf numFmtId="164" fontId="6" fillId="4" borderId="1" pivotButton="0" quotePrefix="0" xfId="0"/>
    <xf numFmtId="167" fontId="0" fillId="0" borderId="1" pivotButton="0" quotePrefix="0" xfId="0"/>
    <xf numFmtId="167" fontId="5" fillId="5" borderId="1" pivotButton="0" quotePrefix="0" xfId="0"/>
    <xf numFmtId="0" fontId="46" fillId="0" borderId="0" pivotButton="0" quotePrefix="0" xfId="0"/>
    <xf numFmtId="0" fontId="42" fillId="0" borderId="1" pivotButton="0" quotePrefix="0" xfId="0"/>
    <xf numFmtId="167" fontId="15" fillId="4" borderId="1" pivotButton="0" quotePrefix="0" xfId="0"/>
    <xf numFmtId="166" fontId="19" fillId="0" borderId="1" pivotButton="0" quotePrefix="0" xfId="0"/>
    <xf numFmtId="0" fontId="40" fillId="0" borderId="1" pivotButton="0" quotePrefix="0" xfId="0"/>
    <xf numFmtId="164" fontId="41" fillId="5" borderId="1" pivotButton="0" quotePrefix="0" xfId="0"/>
    <xf numFmtId="0" fontId="39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2" fontId="6" fillId="4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9" fontId="6" fillId="4" borderId="1" applyAlignment="1" pivotButton="0" quotePrefix="0" xfId="0">
      <alignment horizontal="center" vertical="center" wrapText="1"/>
    </xf>
    <xf numFmtId="166" fontId="27" fillId="5" borderId="1" pivotButton="0" quotePrefix="0" xfId="0"/>
    <xf numFmtId="0" fontId="5" fillId="5" borderId="1" pivotButton="0" quotePrefix="0" xfId="0"/>
    <xf numFmtId="0" fontId="21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165" fontId="28" fillId="0" borderId="1" pivotButton="0" quotePrefix="0" xfId="0"/>
    <xf numFmtId="0" fontId="29" fillId="0" borderId="0" pivotButton="0" quotePrefix="0" xfId="0"/>
    <xf numFmtId="0" fontId="30" fillId="0" borderId="0" pivotButton="0" quotePrefix="0" xfId="0"/>
    <xf numFmtId="164" fontId="31" fillId="5" borderId="1" pivotButton="0" quotePrefix="0" xfId="0"/>
    <xf numFmtId="2" fontId="31" fillId="5" borderId="1" pivotButton="0" quotePrefix="0" xfId="0"/>
    <xf numFmtId="166" fontId="31" fillId="5" borderId="1" pivotButton="0" quotePrefix="0" xfId="0"/>
    <xf numFmtId="166" fontId="6" fillId="4" borderId="1" pivotButton="0" quotePrefix="0" xfId="0"/>
    <xf numFmtId="0" fontId="6" fillId="4" borderId="1" pivotButton="0" quotePrefix="0" xfId="0"/>
    <xf numFmtId="0" fontId="10" fillId="0" borderId="1" pivotButton="0" quotePrefix="0" xfId="0"/>
    <xf numFmtId="166" fontId="3" fillId="0" borderId="1" applyAlignment="1" pivotButton="0" quotePrefix="0" xfId="0">
      <alignment horizontal="right" vertical="center"/>
    </xf>
    <xf numFmtId="0" fontId="11" fillId="5" borderId="1" pivotButton="0" quotePrefix="0" xfId="0"/>
    <xf numFmtId="166" fontId="5" fillId="5" borderId="1" applyAlignment="1" pivotButton="0" quotePrefix="0" xfId="0">
      <alignment horizontal="right" vertical="center"/>
    </xf>
    <xf numFmtId="166" fontId="14" fillId="0" borderId="1" applyAlignment="1" pivotButton="0" quotePrefix="0" xfId="0">
      <alignment horizontal="right" vertical="center"/>
    </xf>
    <xf numFmtId="0" fontId="15" fillId="4" borderId="1" applyAlignment="1" pivotButton="0" quotePrefix="0" xfId="0">
      <alignment horizontal="center" vertical="center" wrapText="1"/>
    </xf>
    <xf numFmtId="164" fontId="15" fillId="4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left" vertical="center" wrapText="1"/>
    </xf>
    <xf numFmtId="166" fontId="15" fillId="4" borderId="1" applyAlignment="1" pivotButton="0" quotePrefix="0" xfId="0">
      <alignment horizontal="center" vertical="center" wrapText="1"/>
    </xf>
    <xf numFmtId="9" fontId="5" fillId="0" borderId="1" applyAlignment="1" pivotButton="0" quotePrefix="0" xfId="0">
      <alignment horizontal="center" vertical="center" wrapText="1"/>
    </xf>
    <xf numFmtId="0" fontId="7" fillId="0" borderId="1" pivotButton="0" quotePrefix="0" xfId="0"/>
    <xf numFmtId="9" fontId="0" fillId="0" borderId="1" pivotButton="0" quotePrefix="0" xfId="0"/>
    <xf numFmtId="0" fontId="4" fillId="3" borderId="0" pivotButton="0" quotePrefix="0" xfId="0"/>
    <xf numFmtId="0" fontId="1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6" customHeight="1">
      <c r="A1" s="1" t="inlineStr">
        <is>
          <t>EXECUTIVE DASHBOARD  ·  S&amp;OP one-page (₹ Cr)</t>
        </is>
      </c>
    </row>
    <row r="2">
      <c r="A2" s="2" t="inlineStr">
        <is>
          <t>Honasa / Mamaearth · Modern Trade · rolling 3-month demand &amp; supply view — recomputes from the Control Panel</t>
        </is>
      </c>
    </row>
    <row r="4">
      <c r="A4" s="3" t="inlineStr">
        <is>
          <t>Scenario</t>
        </is>
      </c>
      <c r="B4" s="4" t="n"/>
      <c r="C4" s="4" t="n"/>
      <c r="D4" s="3" t="inlineStr">
        <is>
          <t>Forecast Window</t>
        </is>
      </c>
      <c r="E4" s="4" t="n"/>
      <c r="F4" s="4" t="n"/>
      <c r="G4" s="5" t="inlineStr">
        <is>
          <t>Selected 3M Forecast</t>
        </is>
      </c>
      <c r="H4" s="4" t="n"/>
      <c r="I4" s="4" t="n"/>
      <c r="J4" s="6" t="inlineStr">
        <is>
          <t>3M Target</t>
        </is>
      </c>
      <c r="K4" s="4" t="n"/>
      <c r="L4" s="4" t="n"/>
    </row>
    <row r="5">
      <c r="A5" s="7">
        <f>'Control Panel'!$B$5</f>
        <v/>
      </c>
      <c r="B5" s="4" t="n"/>
      <c r="C5" s="4" t="n"/>
      <c r="D5" s="7">
        <f>'Control Panel'!$B$4&amp;"  →  "&amp;'Control Panel'!$B$7</f>
        <v/>
      </c>
      <c r="E5" s="4" t="n"/>
      <c r="F5" s="4" t="n"/>
      <c r="G5" s="8">
        <f>'Forecast Engine'!$AT$13+'Forecast Engine'!$AU$13+'Forecast Engine'!$AV$13</f>
        <v/>
      </c>
      <c r="H5" s="4" t="n"/>
      <c r="I5" s="4" t="n"/>
      <c r="J5" s="9">
        <f>SUMIFS('Monthly Target Upload'!$D$4:$D$15,'Monthly Target Upload'!$A$4:$A$15,'Control Panel'!$B$4)+SUMIFS('Monthly Target Upload'!$D$4:$D$15,'Monthly Target Upload'!$A$4:$A$15,'Control Panel'!$B$6)+SUMIFS('Monthly Target Upload'!$D$4:$D$15,'Monthly Target Upload'!$A$4:$A$15,'Control Panel'!$B$7)</f>
        <v/>
      </c>
      <c r="K5" s="4" t="n"/>
      <c r="L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A7" s="10">
        <f>IFERROR("Target achievement: "&amp;TEXT(('Forecast Engine'!$AT$13+'Forecast Engine'!$AU$13+'Forecast Engine'!$AV$13)/(SUMIFS('Monthly Target Upload'!$D$4:$D$15,'Monthly Target Upload'!$A$4:$A$15,'Control Panel'!$B$4)+SUMIFS('Monthly Target Upload'!$D$4:$D$15,'Monthly Target Upload'!$A$4:$A$15,'Control Panel'!$B$6)+SUMIFS('Monthly Target Upload'!$D$4:$D$15,'Monthly Target Upload'!$A$4:$A$15,'Control Panel'!$B$7)),"0.0%"),"—")</f>
        <v/>
      </c>
      <c r="G7" s="11">
        <f>"Model accuracy (back-test): "&amp;TEXT('Forecast Accuracy'!$B$21,"0.0%")&amp;"   ·   WMAPE "&amp;TEXT('Forecast Accuracy'!$B$18,"0.0%")</f>
        <v/>
      </c>
    </row>
    <row r="9">
      <c r="A9" s="12" t="inlineStr">
        <is>
          <t>Brand Performance · Base 3-month forecast</t>
        </is>
      </c>
    </row>
    <row r="10" ht="28" customHeight="1">
      <c r="A10" s="5" t="inlineStr">
        <is>
          <t>Brand</t>
        </is>
      </c>
      <c r="B10" s="5" t="inlineStr">
        <is>
          <t>M</t>
        </is>
      </c>
      <c r="C10" s="5" t="inlineStr">
        <is>
          <t>M+1</t>
        </is>
      </c>
      <c r="D10" s="5" t="inlineStr">
        <is>
          <t>M+2</t>
        </is>
      </c>
      <c r="E10" s="5" t="inlineStr">
        <is>
          <t>3M Total</t>
        </is>
      </c>
      <c r="F10" s="5" t="inlineStr">
        <is>
          <t>% Mix</t>
        </is>
      </c>
    </row>
    <row r="11">
      <c r="A11" s="13" t="inlineStr">
        <is>
          <t>Mamaearth</t>
        </is>
      </c>
      <c r="B11" s="14">
        <f>SUMIFS('Forecast Engine'!$AK$4:$AK$12,'Forecast Engine'!$A$4:$A$12,$A11)</f>
        <v/>
      </c>
      <c r="C11" s="14">
        <f>SUMIFS('Forecast Engine'!$AL$4:$AL$12,'Forecast Engine'!$A$4:$A$12,$A11)</f>
        <v/>
      </c>
      <c r="D11" s="14">
        <f>SUMIFS('Forecast Engine'!$AM$4:$AM$12,'Forecast Engine'!$A$4:$A$12,$A11)</f>
        <v/>
      </c>
      <c r="E11" s="15">
        <f>SUM(B11:D11)</f>
        <v/>
      </c>
      <c r="F11" s="16">
        <f>IFERROR(E11/SUM($E$11:$E$14),0)</f>
        <v/>
      </c>
    </row>
    <row r="12">
      <c r="A12" s="13" t="inlineStr">
        <is>
          <t>The Derma Co.</t>
        </is>
      </c>
      <c r="B12" s="14">
        <f>SUMIFS('Forecast Engine'!$AK$4:$AK$12,'Forecast Engine'!$A$4:$A$12,$A12)</f>
        <v/>
      </c>
      <c r="C12" s="14">
        <f>SUMIFS('Forecast Engine'!$AL$4:$AL$12,'Forecast Engine'!$A$4:$A$12,$A12)</f>
        <v/>
      </c>
      <c r="D12" s="14">
        <f>SUMIFS('Forecast Engine'!$AM$4:$AM$12,'Forecast Engine'!$A$4:$A$12,$A12)</f>
        <v/>
      </c>
      <c r="E12" s="15">
        <f>SUM(B12:D12)</f>
        <v/>
      </c>
      <c r="F12" s="16">
        <f>IFERROR(E12/SUM($E$11:$E$14),0)</f>
        <v/>
      </c>
    </row>
    <row r="13">
      <c r="A13" s="13" t="inlineStr">
        <is>
          <t>Aqualogica</t>
        </is>
      </c>
      <c r="B13" s="14">
        <f>SUMIFS('Forecast Engine'!$AK$4:$AK$12,'Forecast Engine'!$A$4:$A$12,$A13)</f>
        <v/>
      </c>
      <c r="C13" s="14">
        <f>SUMIFS('Forecast Engine'!$AL$4:$AL$12,'Forecast Engine'!$A$4:$A$12,$A13)</f>
        <v/>
      </c>
      <c r="D13" s="14">
        <f>SUMIFS('Forecast Engine'!$AM$4:$AM$12,'Forecast Engine'!$A$4:$A$12,$A13)</f>
        <v/>
      </c>
      <c r="E13" s="15">
        <f>SUM(B13:D13)</f>
        <v/>
      </c>
      <c r="F13" s="16">
        <f>IFERROR(E13/SUM($E$11:$E$14),0)</f>
        <v/>
      </c>
    </row>
    <row r="14">
      <c r="A14" s="13" t="inlineStr">
        <is>
          <t>BBLUNT</t>
        </is>
      </c>
      <c r="B14" s="14">
        <f>SUMIFS('Forecast Engine'!$AK$4:$AK$12,'Forecast Engine'!$A$4:$A$12,$A14)</f>
        <v/>
      </c>
      <c r="C14" s="14">
        <f>SUMIFS('Forecast Engine'!$AL$4:$AL$12,'Forecast Engine'!$A$4:$A$12,$A14)</f>
        <v/>
      </c>
      <c r="D14" s="14">
        <f>SUMIFS('Forecast Engine'!$AM$4:$AM$12,'Forecast Engine'!$A$4:$A$12,$A14)</f>
        <v/>
      </c>
      <c r="E14" s="15">
        <f>SUM(B14:D14)</f>
        <v/>
      </c>
      <c r="F14" s="16">
        <f>IFERROR(E14/SUM($E$11:$E$14),0)</f>
        <v/>
      </c>
    </row>
    <row r="15">
      <c r="A15" s="17" t="inlineStr">
        <is>
          <t>Total</t>
        </is>
      </c>
      <c r="B15" s="18">
        <f>SUM(B11:B14)</f>
        <v/>
      </c>
      <c r="C15" s="18">
        <f>SUM(C11:C14)</f>
        <v/>
      </c>
      <c r="D15" s="18">
        <f>SUM(D11:D14)</f>
        <v/>
      </c>
      <c r="E15" s="18">
        <f>SUM(E11:E14)</f>
        <v/>
      </c>
      <c r="F15" s="4" t="n"/>
    </row>
    <row r="17">
      <c r="A17" s="12" t="inlineStr">
        <is>
          <t>Quick links</t>
        </is>
      </c>
    </row>
    <row r="18">
      <c r="A18" s="19" t="inlineStr">
        <is>
          <t>→ Scenario Summary</t>
        </is>
      </c>
      <c r="E18" s="19" t="inlineStr">
        <is>
          <t>→ Forecast Plan Article-Chain</t>
        </is>
      </c>
      <c r="I18" s="19" t="inlineStr">
        <is>
          <t>→ Business_Event_Master</t>
        </is>
      </c>
    </row>
    <row r="19">
      <c r="A19" s="19" t="inlineStr">
        <is>
          <t>→ Event Impact Dashboard</t>
        </is>
      </c>
      <c r="E19" s="19" t="inlineStr">
        <is>
          <t>→ Event Simulator</t>
        </is>
      </c>
      <c r="I19" s="19" t="inlineStr">
        <is>
          <t>→ Target Distribution</t>
        </is>
      </c>
    </row>
    <row r="20">
      <c r="A20" s="19" t="inlineStr">
        <is>
          <t>→ Warehouse Optimization</t>
        </is>
      </c>
      <c r="E20" s="19" t="inlineStr">
        <is>
          <t>→ Forecast Accuracy</t>
        </is>
      </c>
      <c r="I20" s="19" t="inlineStr">
        <is>
          <t>→ AI Business Insights</t>
        </is>
      </c>
    </row>
    <row r="21">
      <c r="A21" s="19" t="inlineStr">
        <is>
          <t>→ Demand Planner Workbench</t>
        </is>
      </c>
    </row>
  </sheetData>
  <mergeCells count="24">
    <mergeCell ref="D5:F6"/>
    <mergeCell ref="A20:D20"/>
    <mergeCell ref="I20:L20"/>
    <mergeCell ref="J5:L6"/>
    <mergeCell ref="J4:L4"/>
    <mergeCell ref="A19:D19"/>
    <mergeCell ref="I19:L19"/>
    <mergeCell ref="A2:L2"/>
    <mergeCell ref="E18:H18"/>
    <mergeCell ref="D4:F4"/>
    <mergeCell ref="G4:I4"/>
    <mergeCell ref="A17:L17"/>
    <mergeCell ref="A4:C4"/>
    <mergeCell ref="E20:H20"/>
    <mergeCell ref="A9:L9"/>
    <mergeCell ref="E19:H19"/>
    <mergeCell ref="A18:D18"/>
    <mergeCell ref="I18:L18"/>
    <mergeCell ref="A5:C6"/>
    <mergeCell ref="G5:I6"/>
    <mergeCell ref="A1:L1"/>
    <mergeCell ref="A21:D21"/>
    <mergeCell ref="A7:F7"/>
    <mergeCell ref="G7:L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46" customWidth="1" min="3" max="3"/>
    <col width="4" customWidth="1" min="4" max="4"/>
  </cols>
  <sheetData>
    <row r="1" ht="26" customHeight="1">
      <c r="A1" s="1" t="inlineStr">
        <is>
          <t>CONTROL PANEL  ·  every blue cell drives the rolling forecast</t>
        </is>
      </c>
    </row>
    <row r="2">
      <c r="A2" s="12" t="inlineStr">
        <is>
          <t>1 · Forecast Horizon (rolling)</t>
        </is>
      </c>
    </row>
    <row r="3">
      <c r="A3" s="20" t="inlineStr">
        <is>
          <t>Last Actual Month (data closed through)</t>
        </is>
      </c>
      <c r="B3" s="21" t="inlineStr">
        <is>
          <t>May'26</t>
        </is>
      </c>
      <c r="C3" s="22" t="inlineStr">
        <is>
          <t>set to the latest month present in Primary Sales History</t>
        </is>
      </c>
    </row>
    <row r="4">
      <c r="A4" s="20" t="inlineStr">
        <is>
          <t>Forecast Month  (M)</t>
        </is>
      </c>
      <c r="B4" s="21" t="inlineStr">
        <is>
          <t>Jun'26</t>
        </is>
      </c>
      <c r="C4" s="22" t="inlineStr">
        <is>
          <t>first month to forecast; advance one month each cycle</t>
        </is>
      </c>
    </row>
    <row r="5">
      <c r="A5" s="20" t="inlineStr">
        <is>
          <t>Business Scenario (drives 'Selected' columns)</t>
        </is>
      </c>
      <c r="B5" s="21" t="inlineStr">
        <is>
          <t>Base</t>
        </is>
      </c>
    </row>
    <row r="6">
      <c r="A6" s="20" t="inlineStr">
        <is>
          <t>Forecast Month  (M+1)</t>
        </is>
      </c>
      <c r="B6" s="23">
        <f>INDEX(Calendar!$B$3:$B$38,MATCH($B$4,Calendar!$B$3:$B$38,0)+1)</f>
        <v/>
      </c>
    </row>
    <row r="7">
      <c r="A7" s="20" t="inlineStr">
        <is>
          <t>Forecast Month  (M+2)</t>
        </is>
      </c>
      <c r="B7" s="23">
        <f>INDEX(Calendar!$B$3:$B$38,MATCH($B$4,Calendar!$B$3:$B$38,0)+2)</f>
        <v/>
      </c>
    </row>
    <row r="8">
      <c r="A8" s="20" t="inlineStr">
        <is>
          <t>Idx · Last Actual</t>
        </is>
      </c>
      <c r="B8" s="23">
        <f>MATCH('Control Panel'!$B$3,Calendar!$B$3:$B$38,0)</f>
        <v/>
      </c>
    </row>
    <row r="9">
      <c r="A9" s="20" t="inlineStr">
        <is>
          <t>Idx · M</t>
        </is>
      </c>
      <c r="B9" s="23">
        <f>MATCH('Control Panel'!$B$4,Calendar!$B$3:$B$38,0)</f>
        <v/>
      </c>
    </row>
    <row r="10">
      <c r="A10" s="20" t="inlineStr">
        <is>
          <t>Idx · M+1</t>
        </is>
      </c>
      <c r="B10" s="23">
        <f>MATCH('Control Panel'!$B$6,Calendar!$B$3:$B$38,0)</f>
        <v/>
      </c>
    </row>
    <row r="11">
      <c r="A11" s="20" t="inlineStr">
        <is>
          <t>Idx · M+2</t>
        </is>
      </c>
      <c r="B11" s="23">
        <f>MATCH('Control Panel'!$B$7,Calendar!$B$3:$B$38,0)</f>
        <v/>
      </c>
    </row>
    <row r="12">
      <c r="A12" s="20" t="inlineStr">
        <is>
          <t>Month Name · M</t>
        </is>
      </c>
      <c r="B12" s="23">
        <f>INDEX(Calendar!$C$3:$C$38,'Control Panel'!$B$9)</f>
        <v/>
      </c>
    </row>
    <row r="13">
      <c r="A13" s="20" t="inlineStr">
        <is>
          <t>Month Name · M+1</t>
        </is>
      </c>
      <c r="B13" s="23">
        <f>INDEX(Calendar!$C$3:$C$38,'Control Panel'!$B$10)</f>
        <v/>
      </c>
    </row>
    <row r="14">
      <c r="A14" s="20" t="inlineStr">
        <is>
          <t>Month Name · M+2</t>
        </is>
      </c>
      <c r="B14" s="23">
        <f>INDEX(Calendar!$C$3:$C$38,'Control Panel'!$B$11)</f>
        <v/>
      </c>
    </row>
    <row r="16">
      <c r="A16" s="12" t="inlineStr">
        <is>
          <t>2 · Statistical Method Weights (auto-normalised)</t>
        </is>
      </c>
    </row>
    <row r="17">
      <c r="A17" s="20" t="inlineStr">
        <is>
          <t>WMA (weighted moving avg)</t>
        </is>
      </c>
      <c r="B17" s="24" t="n">
        <v>0.2</v>
      </c>
    </row>
    <row r="18">
      <c r="A18" s="20" t="inlineStr">
        <is>
          <t>Exponential Smoothing</t>
        </is>
      </c>
      <c r="B18" s="24" t="n">
        <v>0.2</v>
      </c>
    </row>
    <row r="19">
      <c r="A19" s="20" t="inlineStr">
        <is>
          <t>Linear Trend</t>
        </is>
      </c>
      <c r="B19" s="24" t="n">
        <v>0.15</v>
      </c>
    </row>
    <row r="20">
      <c r="A20" s="20" t="inlineStr">
        <is>
          <t>Seasonal Index</t>
        </is>
      </c>
      <c r="B20" s="24" t="n">
        <v>0.15</v>
      </c>
    </row>
    <row r="21">
      <c r="A21" s="20" t="inlineStr">
        <is>
          <t>CAGR</t>
        </is>
      </c>
      <c r="B21" s="24" t="n">
        <v>0.1</v>
      </c>
    </row>
    <row r="22">
      <c r="A22" s="20" t="inlineStr">
        <is>
          <t>Rolling Average</t>
        </is>
      </c>
      <c r="B22" s="24" t="n">
        <v>0.1</v>
      </c>
    </row>
    <row r="23">
      <c r="A23" s="20" t="inlineStr">
        <is>
          <t>YoY Growth</t>
        </is>
      </c>
      <c r="B23" s="24" t="n">
        <v>0.1</v>
      </c>
    </row>
    <row r="24">
      <c r="A24" s="25" t="inlineStr">
        <is>
          <t>Sum of method weights</t>
        </is>
      </c>
      <c r="B24" s="26">
        <f>SUM(B17:B23)</f>
        <v/>
      </c>
    </row>
    <row r="26">
      <c r="A26" s="12" t="inlineStr">
        <is>
          <t>3 · Method Parameters</t>
        </is>
      </c>
    </row>
    <row r="27">
      <c r="A27" s="20" t="inlineStr">
        <is>
          <t>Exponential Smoothing α</t>
        </is>
      </c>
      <c r="B27" s="24" t="n">
        <v>0.4</v>
      </c>
      <c r="C27" s="22" t="inlineStr">
        <is>
          <t>higher = more weight on recent months</t>
        </is>
      </c>
    </row>
    <row r="28">
      <c r="A28" s="20" t="inlineStr">
        <is>
          <t>WMA weight · latest month</t>
        </is>
      </c>
      <c r="B28" s="24" t="n">
        <v>0.5</v>
      </c>
    </row>
    <row r="29">
      <c r="A29" s="20" t="inlineStr">
        <is>
          <t>WMA weight · 2nd month</t>
        </is>
      </c>
      <c r="B29" s="24" t="n">
        <v>0.3</v>
      </c>
    </row>
    <row r="30">
      <c r="A30" s="20" t="inlineStr">
        <is>
          <t>WMA weight · 3rd month</t>
        </is>
      </c>
      <c r="B30" s="24" t="n">
        <v>0.2</v>
      </c>
    </row>
    <row r="32">
      <c r="A32" s="12" t="inlineStr">
        <is>
          <t>4 · AI Ensemble Blend (Statistical + Business + Drivers)</t>
        </is>
      </c>
    </row>
    <row r="33">
      <c r="A33" s="20" t="inlineStr">
        <is>
          <t>Weight · Statistical</t>
        </is>
      </c>
      <c r="B33" s="24" t="n">
        <v>0.5</v>
      </c>
    </row>
    <row r="34">
      <c r="A34" s="20" t="inlineStr">
        <is>
          <t>Weight · Business</t>
        </is>
      </c>
      <c r="B34" s="24" t="n">
        <v>0.3</v>
      </c>
    </row>
    <row r="35">
      <c r="A35" s="20" t="inlineStr">
        <is>
          <t>Weight · Driver-adjusted</t>
        </is>
      </c>
      <c r="B35" s="24" t="n">
        <v>0.2</v>
      </c>
    </row>
    <row r="36">
      <c r="A36" s="20" t="inlineStr">
        <is>
          <t>Momentum cap (±)</t>
        </is>
      </c>
      <c r="B36" s="24" t="n">
        <v>0.15</v>
      </c>
      <c r="C36" s="22" t="inlineStr">
        <is>
          <t>limits brand-momentum driver</t>
        </is>
      </c>
    </row>
    <row r="38">
      <c r="A38" s="12" t="inlineStr">
        <is>
          <t>5 · Scenario Multipliers</t>
        </is>
      </c>
    </row>
    <row r="39">
      <c r="A39" s="20" t="inlineStr">
        <is>
          <t>Base</t>
        </is>
      </c>
      <c r="B39" s="27" t="n">
        <v>1</v>
      </c>
    </row>
    <row r="40">
      <c r="A40" s="20" t="inlineStr">
        <is>
          <t>Optimistic</t>
        </is>
      </c>
      <c r="B40" s="27" t="n">
        <v>1.08</v>
      </c>
    </row>
    <row r="41">
      <c r="A41" s="20" t="inlineStr">
        <is>
          <t>Conservative</t>
        </is>
      </c>
      <c r="B41" s="27" t="n">
        <v>0.92</v>
      </c>
    </row>
    <row r="42">
      <c r="A42" s="20" t="inlineStr">
        <is>
          <t>Selected multiplier</t>
        </is>
      </c>
      <c r="B42" s="28">
        <f>IF('Control Panel'!$B$5="Optimistic",'Control Panel'!$B$40,IF('Control Panel'!$B$5="Conservative",'Control Panel'!$B$41,'Control Panel'!$B$39))</f>
        <v/>
      </c>
    </row>
    <row r="44">
      <c r="A44" s="12" t="inlineStr">
        <is>
          <t>6 · Business Forecast Defaults</t>
        </is>
      </c>
    </row>
    <row r="45">
      <c r="A45" s="20" t="inlineStr">
        <is>
          <t>Default business adjustment %</t>
        </is>
      </c>
      <c r="B45" s="24" t="n">
        <v>0.05</v>
      </c>
      <c r="C45" s="22" t="inlineStr">
        <is>
          <t>applied when a series has no explicit override</t>
        </is>
      </c>
    </row>
    <row r="47">
      <c r="A47" s="12" t="inlineStr">
        <is>
          <t>7 · Forecast Accuracy Settings</t>
        </is>
      </c>
    </row>
    <row r="48">
      <c r="A48" s="20" t="inlineStr">
        <is>
          <t>Back-test window (months)</t>
        </is>
      </c>
      <c r="B48" s="21" t="n">
        <v>6</v>
      </c>
    </row>
    <row r="49">
      <c r="A49" s="20" t="inlineStr">
        <is>
          <t>Tracking-signal alert limit (±)</t>
        </is>
      </c>
      <c r="B49" s="27" t="n">
        <v>4</v>
      </c>
    </row>
    <row r="50">
      <c r="A50" s="20" t="inlineStr">
        <is>
          <t>Accuracy target %</t>
        </is>
      </c>
      <c r="B50" s="24" t="n">
        <v>0.8</v>
      </c>
    </row>
    <row r="52">
      <c r="A52" s="12" t="inlineStr">
        <is>
          <t>8 · Warehouse Capacity  (₹ Cr dispatch / month)</t>
        </is>
      </c>
    </row>
    <row r="53">
      <c r="A53" s="20" t="inlineStr">
        <is>
          <t>Gurgaon</t>
        </is>
      </c>
      <c r="B53" s="29" t="n">
        <v>60</v>
      </c>
    </row>
    <row r="54">
      <c r="A54" s="20" t="inlineStr">
        <is>
          <t>Mumbai</t>
        </is>
      </c>
      <c r="B54" s="29" t="n">
        <v>55</v>
      </c>
    </row>
    <row r="55">
      <c r="A55" s="20" t="inlineStr">
        <is>
          <t>Bangalore</t>
        </is>
      </c>
      <c r="B55" s="29" t="n">
        <v>45</v>
      </c>
    </row>
    <row r="56">
      <c r="A56" s="20" t="inlineStr">
        <is>
          <t>Kolkata</t>
        </is>
      </c>
      <c r="B56" s="29" t="n">
        <v>25</v>
      </c>
    </row>
  </sheetData>
  <mergeCells count="9">
    <mergeCell ref="A1:D1"/>
    <mergeCell ref="A26:D26"/>
    <mergeCell ref="A38:D38"/>
    <mergeCell ref="A52:D52"/>
    <mergeCell ref="A16:D16"/>
    <mergeCell ref="A2:D2"/>
    <mergeCell ref="A47:D47"/>
    <mergeCell ref="A32:D32"/>
    <mergeCell ref="A44:D44"/>
  </mergeCells>
  <dataValidations count="1">
    <dataValidation sqref="B5" showDropDown="0" showInputMessage="0" showErrorMessage="0" allowBlank="0" type="list">
      <formula1>"Base,Optimistic,Conservative"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T13"/>
  <sheetViews>
    <sheetView zoomScale="8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3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9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</cols>
  <sheetData>
    <row r="1" ht="26" customHeight="1">
      <c r="A1" s="1" t="inlineStr">
        <is>
          <t>FORECAST ENGINE  ·  rolling 3-month statistical + business + AI ensemble (₹ Cr)</t>
        </is>
      </c>
    </row>
    <row r="2">
      <c r="A2" s="12" t="inlineStr">
        <is>
          <t>Every value is a formula off the Control Panel. Monthly matrix (right) is pulled from Primary Sales History via SUMIFS; helper columns extract the rolling window; the 7 methods blend into Statistical → Business → AI → scenarios. See Documentation for maths.</t>
        </is>
      </c>
    </row>
    <row r="3" ht="30" customHeight="1">
      <c r="A3" s="30" t="inlineStr">
        <is>
          <t>Brand</t>
        </is>
      </c>
      <c r="B3" s="30" t="inlineStr">
        <is>
          <t>Category</t>
        </is>
      </c>
      <c r="C3" s="30" t="inlineStr">
        <is>
          <t>Seas Cat</t>
        </is>
      </c>
      <c r="D3" s="30" t="inlineStr">
        <is>
          <t>M-1</t>
        </is>
      </c>
      <c r="E3" s="30" t="inlineStr">
        <is>
          <t>M-2</t>
        </is>
      </c>
      <c r="F3" s="30" t="inlineStr">
        <is>
          <t>M-3</t>
        </is>
      </c>
      <c r="G3" s="30" t="inlineStr">
        <is>
          <t>M-6</t>
        </is>
      </c>
      <c r="H3" s="30" t="inlineStr">
        <is>
          <t>M-12</t>
        </is>
      </c>
      <c r="I3" s="30" t="inlineStr">
        <is>
          <t>Avg3</t>
        </is>
      </c>
      <c r="J3" s="30" t="inlineStr">
        <is>
          <t>Avg6</t>
        </is>
      </c>
      <c r="K3" s="30" t="inlineStr">
        <is>
          <t>Avg12</t>
        </is>
      </c>
      <c r="L3" s="30" t="inlineStr">
        <is>
          <t>Momentum</t>
        </is>
      </c>
      <c r="M3" s="30" t="inlineStr">
        <is>
          <t>Trend/mo</t>
        </is>
      </c>
      <c r="N3" s="30" t="inlineStr">
        <is>
          <t>CAGR/mo</t>
        </is>
      </c>
      <c r="O3" s="30" t="inlineStr">
        <is>
          <t>Seas·M</t>
        </is>
      </c>
      <c r="P3" s="30" t="inlineStr">
        <is>
          <t>Seas·M+1</t>
        </is>
      </c>
      <c r="Q3" s="30" t="inlineStr">
        <is>
          <t>Seas·M+2</t>
        </is>
      </c>
      <c r="R3" s="30" t="inlineStr">
        <is>
          <t>SMLY·M</t>
        </is>
      </c>
      <c r="S3" s="30" t="inlineStr">
        <is>
          <t>SMLY·M+1</t>
        </is>
      </c>
      <c r="T3" s="30" t="inlineStr">
        <is>
          <t>SMLY·M+2</t>
        </is>
      </c>
      <c r="U3" s="30" t="inlineStr">
        <is>
          <t>Biz Adj %</t>
        </is>
      </c>
      <c r="V3" s="30" t="inlineStr">
        <is>
          <t>Promo1</t>
        </is>
      </c>
      <c r="W3" s="30" t="inlineStr">
        <is>
          <t>Promo2</t>
        </is>
      </c>
      <c r="X3" s="30" t="inlineStr">
        <is>
          <t>Promo3</t>
        </is>
      </c>
      <c r="Y3" s="30" t="inlineStr">
        <is>
          <t>NPI1</t>
        </is>
      </c>
      <c r="Z3" s="30" t="inlineStr">
        <is>
          <t>NPI2</t>
        </is>
      </c>
      <c r="AA3" s="30" t="inlineStr">
        <is>
          <t>NPI3</t>
        </is>
      </c>
      <c r="AB3" s="30" t="inlineStr">
        <is>
          <t>Stat·M</t>
        </is>
      </c>
      <c r="AC3" s="30" t="inlineStr">
        <is>
          <t>Stat·M+1</t>
        </is>
      </c>
      <c r="AD3" s="30" t="inlineStr">
        <is>
          <t>Stat·M+2</t>
        </is>
      </c>
      <c r="AE3" s="30" t="inlineStr">
        <is>
          <t>Biz·M</t>
        </is>
      </c>
      <c r="AF3" s="30" t="inlineStr">
        <is>
          <t>Biz·M+1</t>
        </is>
      </c>
      <c r="AG3" s="30" t="inlineStr">
        <is>
          <t>Biz·M+2</t>
        </is>
      </c>
      <c r="AH3" s="30" t="inlineStr">
        <is>
          <t>AI·M</t>
        </is>
      </c>
      <c r="AI3" s="30" t="inlineStr">
        <is>
          <t>AI·M+1</t>
        </is>
      </c>
      <c r="AJ3" s="30" t="inlineStr">
        <is>
          <t>AI·M+2</t>
        </is>
      </c>
      <c r="AK3" s="30" t="inlineStr">
        <is>
          <t>Base·M</t>
        </is>
      </c>
      <c r="AL3" s="30" t="inlineStr">
        <is>
          <t>Base·M+1</t>
        </is>
      </c>
      <c r="AM3" s="30" t="inlineStr">
        <is>
          <t>Base·M+2</t>
        </is>
      </c>
      <c r="AN3" s="30" t="inlineStr">
        <is>
          <t>Opt·M</t>
        </is>
      </c>
      <c r="AO3" s="30" t="inlineStr">
        <is>
          <t>Opt·M+1</t>
        </is>
      </c>
      <c r="AP3" s="30" t="inlineStr">
        <is>
          <t>Opt·M+2</t>
        </is>
      </c>
      <c r="AQ3" s="30" t="inlineStr">
        <is>
          <t>Cons·M</t>
        </is>
      </c>
      <c r="AR3" s="30" t="inlineStr">
        <is>
          <t>Cons·M+1</t>
        </is>
      </c>
      <c r="AS3" s="30" t="inlineStr">
        <is>
          <t>Cons·M+2</t>
        </is>
      </c>
      <c r="AT3" s="30" t="inlineStr">
        <is>
          <t>Sel·M</t>
        </is>
      </c>
      <c r="AU3" s="30" t="inlineStr">
        <is>
          <t>Sel·M+1</t>
        </is>
      </c>
      <c r="AV3" s="30" t="inlineStr">
        <is>
          <t>Sel·M+2</t>
        </is>
      </c>
      <c r="AW3" s="30" t="inlineStr">
        <is>
          <t>Apr'25</t>
        </is>
      </c>
      <c r="AX3" s="30" t="inlineStr">
        <is>
          <t>May'25</t>
        </is>
      </c>
      <c r="AY3" s="30" t="inlineStr">
        <is>
          <t>Jun'25</t>
        </is>
      </c>
      <c r="AZ3" s="30" t="inlineStr">
        <is>
          <t>Jul'25</t>
        </is>
      </c>
      <c r="BA3" s="30" t="inlineStr">
        <is>
          <t>Aug'25</t>
        </is>
      </c>
      <c r="BB3" s="30" t="inlineStr">
        <is>
          <t>Sep'25</t>
        </is>
      </c>
      <c r="BC3" s="30" t="inlineStr">
        <is>
          <t>Oct'25</t>
        </is>
      </c>
      <c r="BD3" s="30" t="inlineStr">
        <is>
          <t>Nov'25</t>
        </is>
      </c>
      <c r="BE3" s="30" t="inlineStr">
        <is>
          <t>Dec'25</t>
        </is>
      </c>
      <c r="BF3" s="30" t="inlineStr">
        <is>
          <t>Jan'25</t>
        </is>
      </c>
      <c r="BG3" s="30" t="inlineStr">
        <is>
          <t>Feb'25</t>
        </is>
      </c>
      <c r="BH3" s="30" t="inlineStr">
        <is>
          <t>Mar'25</t>
        </is>
      </c>
      <c r="BI3" s="30" t="inlineStr">
        <is>
          <t>Apr'26</t>
        </is>
      </c>
      <c r="BJ3" s="30" t="inlineStr">
        <is>
          <t>May'26</t>
        </is>
      </c>
      <c r="BK3" s="30" t="inlineStr">
        <is>
          <t>Jun'26</t>
        </is>
      </c>
      <c r="BL3" s="30" t="inlineStr">
        <is>
          <t>Jul'26</t>
        </is>
      </c>
      <c r="BM3" s="30" t="inlineStr">
        <is>
          <t>Aug'26</t>
        </is>
      </c>
      <c r="BN3" s="30" t="inlineStr">
        <is>
          <t>Sep'26</t>
        </is>
      </c>
      <c r="BO3" s="30" t="inlineStr">
        <is>
          <t>Oct'26</t>
        </is>
      </c>
      <c r="BP3" s="30" t="inlineStr">
        <is>
          <t>Nov'26</t>
        </is>
      </c>
      <c r="BQ3" s="30" t="inlineStr">
        <is>
          <t>Dec'26</t>
        </is>
      </c>
      <c r="BR3" s="30" t="inlineStr">
        <is>
          <t>Jan'26</t>
        </is>
      </c>
      <c r="BS3" s="30" t="inlineStr">
        <is>
          <t>Feb'26</t>
        </is>
      </c>
      <c r="BT3" s="30" t="inlineStr">
        <is>
          <t>Mar'26</t>
        </is>
      </c>
    </row>
    <row r="4">
      <c r="A4" s="31" t="inlineStr">
        <is>
          <t>Mamaearth</t>
        </is>
      </c>
      <c r="B4" s="31" t="inlineStr">
        <is>
          <t>Face</t>
        </is>
      </c>
      <c r="C4" s="32" t="inlineStr">
        <is>
          <t>Face</t>
        </is>
      </c>
      <c r="D4" s="4">
        <f>IFERROR(INDEX($AW4:$BT4,1,'Control Panel'!$B$8-0),0)</f>
        <v/>
      </c>
      <c r="E4" s="4">
        <f>IFERROR(INDEX($AW4:$BT4,1,'Control Panel'!$B$8-1),0)</f>
        <v/>
      </c>
      <c r="F4" s="4">
        <f>IFERROR(INDEX($AW4:$BT4,1,'Control Panel'!$B$8-2),0)</f>
        <v/>
      </c>
      <c r="G4" s="4">
        <f>IFERROR(INDEX($AW4:$BT4,1,'Control Panel'!$B$8-5),0)</f>
        <v/>
      </c>
      <c r="H4" s="4">
        <f>IFERROR(INDEX($AW4:$BT4,1,'Control Panel'!$B$8-11),0)</f>
        <v/>
      </c>
      <c r="I4" s="4">
        <f>AVERAGE(D4,E4,F4)</f>
        <v/>
      </c>
      <c r="J4" s="4">
        <f>(D4+E4+F4+IFERROR(INDEX($AW4:$BT4,1,'Control Panel'!$B$8-3),0)+IFERROR(INDEX($AW4:$BT4,1,'Control Panel'!$B$8-4),0)+G4)/6</f>
        <v/>
      </c>
      <c r="K4" s="4">
        <f>(IFERROR(INDEX($AW4:$BT4,1,'Control Panel'!$B$8-0),0)+IFERROR(INDEX($AW4:$BT4,1,'Control Panel'!$B$8-1),0)+IFERROR(INDEX($AW4:$BT4,1,'Control Panel'!$B$8-2),0)+IFERROR(INDEX($AW4:$BT4,1,'Control Panel'!$B$8-3),0)+IFERROR(INDEX($AW4:$BT4,1,'Control Panel'!$B$8-4),0)+IFERROR(INDEX($AW4:$BT4,1,'Control Panel'!$B$8-5),0)+IFERROR(INDEX($AW4:$BT4,1,'Control Panel'!$B$8-6),0)+IFERROR(INDEX($AW4:$BT4,1,'Control Panel'!$B$8-7),0)+IFERROR(INDEX($AW4:$BT4,1,'Control Panel'!$B$8-8),0)+IFERROR(INDEX($AW4:$BT4,1,'Control Panel'!$B$8-9),0)+IFERROR(INDEX($AW4:$BT4,1,'Control Panel'!$B$8-10),0)+IFERROR(INDEX($AW4:$BT4,1,'Control Panel'!$B$8-11),0))/12</f>
        <v/>
      </c>
      <c r="L4" s="4">
        <f>IFERROR(MAX(-'Control Panel'!$B$36,MIN('Control Panel'!$B$36,(I4-J4)/J4)),0)</f>
        <v/>
      </c>
      <c r="M4" s="4">
        <f>(D4-G4)/5</f>
        <v/>
      </c>
      <c r="N4" s="4">
        <f>IFERROR(IF(H4&gt;0,(D4/H4)^(1/12)-1,0),0)</f>
        <v/>
      </c>
      <c r="O4" s="4">
        <f>IFERROR((IFERROR(INDEX('Seasonality Matrix'!$B$4:$M$11,MATCH($C4,'Seasonality Matrix'!$A$4:$A$11,0),MATCH('Control Panel'!$B$12,'Seasonality Matrix'!$B$3:$M$3,0)),1))/(IFERROR(AVERAGE(INDEX('Seasonality Matrix'!$B$4:$M$11,MATCH($C4,'Seasonality Matrix'!$A$4:$A$11,0),0)),1)),1)</f>
        <v/>
      </c>
      <c r="P4" s="4">
        <f>IFERROR((IFERROR(INDEX('Seasonality Matrix'!$B$4:$M$11,MATCH($C4,'Seasonality Matrix'!$A$4:$A$11,0),MATCH('Control Panel'!$B$13,'Seasonality Matrix'!$B$3:$M$3,0)),1))/(IFERROR(AVERAGE(INDEX('Seasonality Matrix'!$B$4:$M$11,MATCH($C4,'Seasonality Matrix'!$A$4:$A$11,0),0)),1)),1)</f>
        <v/>
      </c>
      <c r="Q4" s="4">
        <f>IFERROR((IFERROR(INDEX('Seasonality Matrix'!$B$4:$M$11,MATCH($C4,'Seasonality Matrix'!$A$4:$A$11,0),MATCH('Control Panel'!$B$14,'Seasonality Matrix'!$B$3:$M$3,0)),1))/(IFERROR(AVERAGE(INDEX('Seasonality Matrix'!$B$4:$M$11,MATCH($C4,'Seasonality Matrix'!$A$4:$A$11,0),0)),1)),1)</f>
        <v/>
      </c>
      <c r="R4" s="4">
        <f>IFERROR(INDEX($AW4:$BT4,1,'Control Panel'!$B$9-12),0)</f>
        <v/>
      </c>
      <c r="S4" s="4">
        <f>IFERROR(INDEX($AW4:$BT4,1,'Control Panel'!$B$10-12),0)</f>
        <v/>
      </c>
      <c r="T4" s="4">
        <f>IFERROR(INDEX($AW4:$BT4,1,'Control Panel'!$B$11-12),0)</f>
        <v/>
      </c>
      <c r="U4" s="33">
        <f>'Control Panel'!$B$45</f>
        <v/>
      </c>
      <c r="V4" s="16">
        <f>IFERROR(SUMIFS('Promotion Calendar'!$G$4:$G$12,'Promotion Calendar'!$A$4:$A$12,$A4,'Promotion Calendar'!$B$4:$B$12,$B4,'Promotion Calendar'!$C$4:$C$12,'Control Panel'!$B$4),0)</f>
        <v/>
      </c>
      <c r="W4" s="16">
        <f>IFERROR(SUMIFS('Promotion Calendar'!$G$4:$G$12,'Promotion Calendar'!$A$4:$A$12,$A4,'Promotion Calendar'!$B$4:$B$12,$B4,'Promotion Calendar'!$C$4:$C$12,'Control Panel'!$B$6),0)</f>
        <v/>
      </c>
      <c r="X4" s="16">
        <f>IFERROR(SUMIFS('Promotion Calendar'!$G$4:$G$12,'Promotion Calendar'!$A$4:$A$12,$A4,'Promotion Calendar'!$B$4:$B$12,$B4,'Promotion Calendar'!$C$4:$C$12,'Control Panel'!$B$7),0)</f>
        <v/>
      </c>
      <c r="Y4" s="14">
        <f>IFERROR(SUMIFS('NPI &amp; EPD Planning'!$I$4:$I$10,'NPI &amp; EPD Planning'!$A$4:$A$10,$A4,'NPI &amp; EPD Planning'!$B$4:$B$10,$B4,'NPI &amp; EPD Planning'!$D$4:$D$10,'Control Panel'!$B$4),0)</f>
        <v/>
      </c>
      <c r="Z4" s="14">
        <f>IFERROR(SUMIFS('NPI &amp; EPD Planning'!$I$4:$I$10,'NPI &amp; EPD Planning'!$A$4:$A$10,$A4,'NPI &amp; EPD Planning'!$B$4:$B$10,$B4,'NPI &amp; EPD Planning'!$D$4:$D$10,'Control Panel'!$B$6),0)</f>
        <v/>
      </c>
      <c r="AA4" s="14">
        <f>IFERROR(SUMIFS('NPI &amp; EPD Planning'!$I$4:$I$10,'NPI &amp; EPD Planning'!$A$4:$A$10,$A4,'NPI &amp; EPD Planning'!$B$4:$B$10,$B4,'NPI &amp; EPD Planning'!$D$4:$D$10,'Control Panel'!$B$7),0)</f>
        <v/>
      </c>
      <c r="AB4" s="34">
        <f>IFERROR(('Control Panel'!$B$17*(('Control Panel'!$B$28*D4+'Control Panel'!$B$29*E4+'Control Panel'!$B$30*F4)*O4)+'Control Panel'!$B$18*((('Control Panel'!$B$27*(1-'Control Panel'!$B$27)^0*IFERROR(INDEX($AW4:$BT4,1,'Control Panel'!$B$8-0),0)+'Control Panel'!$B$27*(1-'Control Panel'!$B$27)^1*IFERROR(INDEX($AW4:$BT4,1,'Control Panel'!$B$8-1),0)+'Control Panel'!$B$27*(1-'Control Panel'!$B$27)^2*IFERROR(INDEX($AW4:$BT4,1,'Control Panel'!$B$8-2),0)+'Control Panel'!$B$27*(1-'Control Panel'!$B$27)^3*IFERROR(INDEX($AW4:$BT4,1,'Control Panel'!$B$8-3),0)+'Control Panel'!$B$27*(1-'Control Panel'!$B$27)^4*IFERROR(INDEX($AW4:$BT4,1,'Control Panel'!$B$8-4),0)+'Control Panel'!$B$27*(1-'Control Panel'!$B$27)^5*IFERROR(INDEX($AW4:$BT4,1,'Control Panel'!$B$8-5),0))/(1-(1-'Control Panel'!$B$27)^6))*O4)+'Control Panel'!$B$19*((D4+M4*1)*O4)+'Control Panel'!$B$20*(K4*O4)+'Control Panel'!$B$21*(D4*(1+N4)^1*O4)+'Control Panel'!$B$22*(I4*O4)+'Control Panel'!$B$23*(R4*(1+IFERROR(D4/H4-1,0))))/'Control Panel'!$B$24,0)</f>
        <v/>
      </c>
      <c r="AC4" s="34">
        <f>IFERROR(('Control Panel'!$B$17*(('Control Panel'!$B$28*D4+'Control Panel'!$B$29*E4+'Control Panel'!$B$30*F4)*P4)+'Control Panel'!$B$18*((('Control Panel'!$B$27*(1-'Control Panel'!$B$27)^0*IFERROR(INDEX($AW4:$BT4,1,'Control Panel'!$B$8-0),0)+'Control Panel'!$B$27*(1-'Control Panel'!$B$27)^1*IFERROR(INDEX($AW4:$BT4,1,'Control Panel'!$B$8-1),0)+'Control Panel'!$B$27*(1-'Control Panel'!$B$27)^2*IFERROR(INDEX($AW4:$BT4,1,'Control Panel'!$B$8-2),0)+'Control Panel'!$B$27*(1-'Control Panel'!$B$27)^3*IFERROR(INDEX($AW4:$BT4,1,'Control Panel'!$B$8-3),0)+'Control Panel'!$B$27*(1-'Control Panel'!$B$27)^4*IFERROR(INDEX($AW4:$BT4,1,'Control Panel'!$B$8-4),0)+'Control Panel'!$B$27*(1-'Control Panel'!$B$27)^5*IFERROR(INDEX($AW4:$BT4,1,'Control Panel'!$B$8-5),0))/(1-(1-'Control Panel'!$B$27)^6))*P4)+'Control Panel'!$B$19*((D4+M4*2)*P4)+'Control Panel'!$B$20*(K4*P4)+'Control Panel'!$B$21*(D4*(1+N4)^2*P4)+'Control Panel'!$B$22*(I4*P4)+'Control Panel'!$B$23*(S4*(1+IFERROR(D4/H4-1,0))))/'Control Panel'!$B$24,0)</f>
        <v/>
      </c>
      <c r="AD4" s="34">
        <f>IFERROR(('Control Panel'!$B$17*(('Control Panel'!$B$28*D4+'Control Panel'!$B$29*E4+'Control Panel'!$B$30*F4)*Q4)+'Control Panel'!$B$18*((('Control Panel'!$B$27*(1-'Control Panel'!$B$27)^0*IFERROR(INDEX($AW4:$BT4,1,'Control Panel'!$B$8-0),0)+'Control Panel'!$B$27*(1-'Control Panel'!$B$27)^1*IFERROR(INDEX($AW4:$BT4,1,'Control Panel'!$B$8-1),0)+'Control Panel'!$B$27*(1-'Control Panel'!$B$27)^2*IFERROR(INDEX($AW4:$BT4,1,'Control Panel'!$B$8-2),0)+'Control Panel'!$B$27*(1-'Control Panel'!$B$27)^3*IFERROR(INDEX($AW4:$BT4,1,'Control Panel'!$B$8-3),0)+'Control Panel'!$B$27*(1-'Control Panel'!$B$27)^4*IFERROR(INDEX($AW4:$BT4,1,'Control Panel'!$B$8-4),0)+'Control Panel'!$B$27*(1-'Control Panel'!$B$27)^5*IFERROR(INDEX($AW4:$BT4,1,'Control Panel'!$B$8-5),0))/(1-(1-'Control Panel'!$B$27)^6))*Q4)+'Control Panel'!$B$19*((D4+M4*3)*Q4)+'Control Panel'!$B$20*(K4*Q4)+'Control Panel'!$B$21*(D4*(1+N4)^3*Q4)+'Control Panel'!$B$22*(I4*Q4)+'Control Panel'!$B$23*(T4*(1+IFERROR(D4/H4-1,0))))/'Control Panel'!$B$24,0)</f>
        <v/>
      </c>
      <c r="AE4" s="34">
        <f>MAX(0,AB4*(1+U4+V4))</f>
        <v/>
      </c>
      <c r="AF4" s="34">
        <f>MAX(0,AC4*(1+U4+W4))</f>
        <v/>
      </c>
      <c r="AG4" s="34">
        <f>MAX(0,AD4*(1+U4+X4))</f>
        <v/>
      </c>
      <c r="AH4" s="35">
        <f>IFERROR(('Control Panel'!$B$33*AB4+'Control Panel'!$B$34*AE4+'Control Panel'!$B$35*(AB4*(1+L4+V4)))/('Control Panel'!$B$33+'Control Panel'!$B$34+'Control Panel'!$B$35),0)</f>
        <v/>
      </c>
      <c r="AI4" s="35">
        <f>IFERROR(('Control Panel'!$B$33*AC4+'Control Panel'!$B$34*AF4+'Control Panel'!$B$35*(AC4*(1+L4+W4)))/('Control Panel'!$B$33+'Control Panel'!$B$34+'Control Panel'!$B$35),0)</f>
        <v/>
      </c>
      <c r="AJ4" s="35">
        <f>IFERROR(('Control Panel'!$B$33*AD4+'Control Panel'!$B$34*AG4+'Control Panel'!$B$35*(AD4*(1+L4+X4)))/('Control Panel'!$B$33+'Control Panel'!$B$34+'Control Panel'!$B$35),0)</f>
        <v/>
      </c>
      <c r="AK4" s="35">
        <f>AH4*'Control Panel'!$B$39+Y4</f>
        <v/>
      </c>
      <c r="AL4" s="35">
        <f>AI4*'Control Panel'!$B$39+Z4</f>
        <v/>
      </c>
      <c r="AM4" s="35">
        <f>AJ4*'Control Panel'!$B$39+AA4</f>
        <v/>
      </c>
      <c r="AN4" s="35">
        <f>AH4*'Control Panel'!$B$40+Y4</f>
        <v/>
      </c>
      <c r="AO4" s="35">
        <f>AI4*'Control Panel'!$B$40+Z4</f>
        <v/>
      </c>
      <c r="AP4" s="35">
        <f>AJ4*'Control Panel'!$B$40+AA4</f>
        <v/>
      </c>
      <c r="AQ4" s="35">
        <f>AH4*'Control Panel'!$B$41+Y4</f>
        <v/>
      </c>
      <c r="AR4" s="35">
        <f>AI4*'Control Panel'!$B$41+Z4</f>
        <v/>
      </c>
      <c r="AS4" s="35">
        <f>AJ4*'Control Panel'!$B$41+AA4</f>
        <v/>
      </c>
      <c r="AT4" s="36">
        <f>AH4*'Control Panel'!$B$42+Y4</f>
        <v/>
      </c>
      <c r="AU4" s="36">
        <f>AI4*'Control Panel'!$B$42+Z4</f>
        <v/>
      </c>
      <c r="AV4" s="36">
        <f>AJ4*'Control Panel'!$B$42+AA4</f>
        <v/>
      </c>
      <c r="AW4" s="37">
        <f>SUMIFS('Primary Sales History'!$C$4:$C$33,'Primary Sales History'!$A$4:$A$33,$A4,'Primary Sales History'!$B$4:$B$33,$B4)</f>
        <v/>
      </c>
      <c r="AX4" s="37">
        <f>SUMIFS('Primary Sales History'!$D$4:$D$33,'Primary Sales History'!$A$4:$A$33,$A4,'Primary Sales History'!$B$4:$B$33,$B4)</f>
        <v/>
      </c>
      <c r="AY4" s="37">
        <f>SUMIFS('Primary Sales History'!$E$4:$E$33,'Primary Sales History'!$A$4:$A$33,$A4,'Primary Sales History'!$B$4:$B$33,$B4)</f>
        <v/>
      </c>
      <c r="AZ4" s="37">
        <f>SUMIFS('Primary Sales History'!$F$4:$F$33,'Primary Sales History'!$A$4:$A$33,$A4,'Primary Sales History'!$B$4:$B$33,$B4)</f>
        <v/>
      </c>
      <c r="BA4" s="37">
        <f>SUMIFS('Primary Sales History'!$G$4:$G$33,'Primary Sales History'!$A$4:$A$33,$A4,'Primary Sales History'!$B$4:$B$33,$B4)</f>
        <v/>
      </c>
      <c r="BB4" s="37">
        <f>SUMIFS('Primary Sales History'!$H$4:$H$33,'Primary Sales History'!$A$4:$A$33,$A4,'Primary Sales History'!$B$4:$B$33,$B4)</f>
        <v/>
      </c>
      <c r="BC4" s="37">
        <f>SUMIFS('Primary Sales History'!$I$4:$I$33,'Primary Sales History'!$A$4:$A$33,$A4,'Primary Sales History'!$B$4:$B$33,$B4)</f>
        <v/>
      </c>
      <c r="BD4" s="37">
        <f>SUMIFS('Primary Sales History'!$J$4:$J$33,'Primary Sales History'!$A$4:$A$33,$A4,'Primary Sales History'!$B$4:$B$33,$B4)</f>
        <v/>
      </c>
      <c r="BE4" s="37">
        <f>SUMIFS('Primary Sales History'!$K$4:$K$33,'Primary Sales History'!$A$4:$A$33,$A4,'Primary Sales History'!$B$4:$B$33,$B4)</f>
        <v/>
      </c>
      <c r="BF4" s="37">
        <f>SUMIFS('Primary Sales History'!$L$4:$L$33,'Primary Sales History'!$A$4:$A$33,$A4,'Primary Sales History'!$B$4:$B$33,$B4)</f>
        <v/>
      </c>
      <c r="BG4" s="37">
        <f>SUMIFS('Primary Sales History'!$M$4:$M$33,'Primary Sales History'!$A$4:$A$33,$A4,'Primary Sales History'!$B$4:$B$33,$B4)</f>
        <v/>
      </c>
      <c r="BH4" s="37">
        <f>SUMIFS('Primary Sales History'!$N$4:$N$33,'Primary Sales History'!$A$4:$A$33,$A4,'Primary Sales History'!$B$4:$B$33,$B4)</f>
        <v/>
      </c>
      <c r="BI4" s="37">
        <f>SUMIFS('Primary Sales History'!$O$4:$O$33,'Primary Sales History'!$A$4:$A$33,$A4,'Primary Sales History'!$B$4:$B$33,$B4)</f>
        <v/>
      </c>
      <c r="BJ4" s="37">
        <f>SUMIFS('Primary Sales History'!$P$4:$P$33,'Primary Sales History'!$A$4:$A$33,$A4,'Primary Sales History'!$B$4:$B$33,$B4)</f>
        <v/>
      </c>
      <c r="BK4" s="37" t="n">
        <v>0</v>
      </c>
      <c r="BL4" s="37" t="n">
        <v>0</v>
      </c>
      <c r="BM4" s="37" t="n">
        <v>0</v>
      </c>
      <c r="BN4" s="37" t="n">
        <v>0</v>
      </c>
      <c r="BO4" s="37" t="n">
        <v>0</v>
      </c>
      <c r="BP4" s="37" t="n">
        <v>0</v>
      </c>
      <c r="BQ4" s="37" t="n">
        <v>0</v>
      </c>
      <c r="BR4" s="37" t="n">
        <v>0</v>
      </c>
      <c r="BS4" s="37" t="n">
        <v>0</v>
      </c>
      <c r="BT4" s="37" t="n">
        <v>0</v>
      </c>
    </row>
    <row r="5">
      <c r="A5" s="31" t="inlineStr">
        <is>
          <t>Mamaearth</t>
        </is>
      </c>
      <c r="B5" s="31" t="inlineStr">
        <is>
          <t>Hair</t>
        </is>
      </c>
      <c r="C5" s="32" t="inlineStr">
        <is>
          <t>Hair</t>
        </is>
      </c>
      <c r="D5" s="4">
        <f>IFERROR(INDEX($AW5:$BT5,1,'Control Panel'!$B$8-0),0)</f>
        <v/>
      </c>
      <c r="E5" s="4">
        <f>IFERROR(INDEX($AW5:$BT5,1,'Control Panel'!$B$8-1),0)</f>
        <v/>
      </c>
      <c r="F5" s="4">
        <f>IFERROR(INDEX($AW5:$BT5,1,'Control Panel'!$B$8-2),0)</f>
        <v/>
      </c>
      <c r="G5" s="4">
        <f>IFERROR(INDEX($AW5:$BT5,1,'Control Panel'!$B$8-5),0)</f>
        <v/>
      </c>
      <c r="H5" s="4">
        <f>IFERROR(INDEX($AW5:$BT5,1,'Control Panel'!$B$8-11),0)</f>
        <v/>
      </c>
      <c r="I5" s="4">
        <f>AVERAGE(D5,E5,F5)</f>
        <v/>
      </c>
      <c r="J5" s="4">
        <f>(D5+E5+F5+IFERROR(INDEX($AW5:$BT5,1,'Control Panel'!$B$8-3),0)+IFERROR(INDEX($AW5:$BT5,1,'Control Panel'!$B$8-4),0)+G5)/6</f>
        <v/>
      </c>
      <c r="K5" s="4">
        <f>(IFERROR(INDEX($AW5:$BT5,1,'Control Panel'!$B$8-0),0)+IFERROR(INDEX($AW5:$BT5,1,'Control Panel'!$B$8-1),0)+IFERROR(INDEX($AW5:$BT5,1,'Control Panel'!$B$8-2),0)+IFERROR(INDEX($AW5:$BT5,1,'Control Panel'!$B$8-3),0)+IFERROR(INDEX($AW5:$BT5,1,'Control Panel'!$B$8-4),0)+IFERROR(INDEX($AW5:$BT5,1,'Control Panel'!$B$8-5),0)+IFERROR(INDEX($AW5:$BT5,1,'Control Panel'!$B$8-6),0)+IFERROR(INDEX($AW5:$BT5,1,'Control Panel'!$B$8-7),0)+IFERROR(INDEX($AW5:$BT5,1,'Control Panel'!$B$8-8),0)+IFERROR(INDEX($AW5:$BT5,1,'Control Panel'!$B$8-9),0)+IFERROR(INDEX($AW5:$BT5,1,'Control Panel'!$B$8-10),0)+IFERROR(INDEX($AW5:$BT5,1,'Control Panel'!$B$8-11),0))/12</f>
        <v/>
      </c>
      <c r="L5" s="4">
        <f>IFERROR(MAX(-'Control Panel'!$B$36,MIN('Control Panel'!$B$36,(I5-J5)/J5)),0)</f>
        <v/>
      </c>
      <c r="M5" s="4">
        <f>(D5-G5)/5</f>
        <v/>
      </c>
      <c r="N5" s="4">
        <f>IFERROR(IF(H5&gt;0,(D5/H5)^(1/12)-1,0),0)</f>
        <v/>
      </c>
      <c r="O5" s="4">
        <f>IFERROR((IFERROR(INDEX('Seasonality Matrix'!$B$4:$M$11,MATCH($C5,'Seasonality Matrix'!$A$4:$A$11,0),MATCH('Control Panel'!$B$12,'Seasonality Matrix'!$B$3:$M$3,0)),1))/(IFERROR(AVERAGE(INDEX('Seasonality Matrix'!$B$4:$M$11,MATCH($C5,'Seasonality Matrix'!$A$4:$A$11,0),0)),1)),1)</f>
        <v/>
      </c>
      <c r="P5" s="4">
        <f>IFERROR((IFERROR(INDEX('Seasonality Matrix'!$B$4:$M$11,MATCH($C5,'Seasonality Matrix'!$A$4:$A$11,0),MATCH('Control Panel'!$B$13,'Seasonality Matrix'!$B$3:$M$3,0)),1))/(IFERROR(AVERAGE(INDEX('Seasonality Matrix'!$B$4:$M$11,MATCH($C5,'Seasonality Matrix'!$A$4:$A$11,0),0)),1)),1)</f>
        <v/>
      </c>
      <c r="Q5" s="4">
        <f>IFERROR((IFERROR(INDEX('Seasonality Matrix'!$B$4:$M$11,MATCH($C5,'Seasonality Matrix'!$A$4:$A$11,0),MATCH('Control Panel'!$B$14,'Seasonality Matrix'!$B$3:$M$3,0)),1))/(IFERROR(AVERAGE(INDEX('Seasonality Matrix'!$B$4:$M$11,MATCH($C5,'Seasonality Matrix'!$A$4:$A$11,0),0)),1)),1)</f>
        <v/>
      </c>
      <c r="R5" s="4">
        <f>IFERROR(INDEX($AW5:$BT5,1,'Control Panel'!$B$9-12),0)</f>
        <v/>
      </c>
      <c r="S5" s="4">
        <f>IFERROR(INDEX($AW5:$BT5,1,'Control Panel'!$B$10-12),0)</f>
        <v/>
      </c>
      <c r="T5" s="4">
        <f>IFERROR(INDEX($AW5:$BT5,1,'Control Panel'!$B$11-12),0)</f>
        <v/>
      </c>
      <c r="U5" s="33">
        <f>'Control Panel'!$B$45</f>
        <v/>
      </c>
      <c r="V5" s="16">
        <f>IFERROR(SUMIFS('Promotion Calendar'!$G$4:$G$12,'Promotion Calendar'!$A$4:$A$12,$A5,'Promotion Calendar'!$B$4:$B$12,$B5,'Promotion Calendar'!$C$4:$C$12,'Control Panel'!$B$4),0)</f>
        <v/>
      </c>
      <c r="W5" s="16">
        <f>IFERROR(SUMIFS('Promotion Calendar'!$G$4:$G$12,'Promotion Calendar'!$A$4:$A$12,$A5,'Promotion Calendar'!$B$4:$B$12,$B5,'Promotion Calendar'!$C$4:$C$12,'Control Panel'!$B$6),0)</f>
        <v/>
      </c>
      <c r="X5" s="16">
        <f>IFERROR(SUMIFS('Promotion Calendar'!$G$4:$G$12,'Promotion Calendar'!$A$4:$A$12,$A5,'Promotion Calendar'!$B$4:$B$12,$B5,'Promotion Calendar'!$C$4:$C$12,'Control Panel'!$B$7),0)</f>
        <v/>
      </c>
      <c r="Y5" s="14">
        <f>IFERROR(SUMIFS('NPI &amp; EPD Planning'!$I$4:$I$10,'NPI &amp; EPD Planning'!$A$4:$A$10,$A5,'NPI &amp; EPD Planning'!$B$4:$B$10,$B5,'NPI &amp; EPD Planning'!$D$4:$D$10,'Control Panel'!$B$4),0)</f>
        <v/>
      </c>
      <c r="Z5" s="14">
        <f>IFERROR(SUMIFS('NPI &amp; EPD Planning'!$I$4:$I$10,'NPI &amp; EPD Planning'!$A$4:$A$10,$A5,'NPI &amp; EPD Planning'!$B$4:$B$10,$B5,'NPI &amp; EPD Planning'!$D$4:$D$10,'Control Panel'!$B$6),0)</f>
        <v/>
      </c>
      <c r="AA5" s="14">
        <f>IFERROR(SUMIFS('NPI &amp; EPD Planning'!$I$4:$I$10,'NPI &amp; EPD Planning'!$A$4:$A$10,$A5,'NPI &amp; EPD Planning'!$B$4:$B$10,$B5,'NPI &amp; EPD Planning'!$D$4:$D$10,'Control Panel'!$B$7),0)</f>
        <v/>
      </c>
      <c r="AB5" s="34">
        <f>IFERROR(('Control Panel'!$B$17*(('Control Panel'!$B$28*D5+'Control Panel'!$B$29*E5+'Control Panel'!$B$30*F5)*O5)+'Control Panel'!$B$18*((('Control Panel'!$B$27*(1-'Control Panel'!$B$27)^0*IFERROR(INDEX($AW5:$BT5,1,'Control Panel'!$B$8-0),0)+'Control Panel'!$B$27*(1-'Control Panel'!$B$27)^1*IFERROR(INDEX($AW5:$BT5,1,'Control Panel'!$B$8-1),0)+'Control Panel'!$B$27*(1-'Control Panel'!$B$27)^2*IFERROR(INDEX($AW5:$BT5,1,'Control Panel'!$B$8-2),0)+'Control Panel'!$B$27*(1-'Control Panel'!$B$27)^3*IFERROR(INDEX($AW5:$BT5,1,'Control Panel'!$B$8-3),0)+'Control Panel'!$B$27*(1-'Control Panel'!$B$27)^4*IFERROR(INDEX($AW5:$BT5,1,'Control Panel'!$B$8-4),0)+'Control Panel'!$B$27*(1-'Control Panel'!$B$27)^5*IFERROR(INDEX($AW5:$BT5,1,'Control Panel'!$B$8-5),0))/(1-(1-'Control Panel'!$B$27)^6))*O5)+'Control Panel'!$B$19*((D5+M5*1)*O5)+'Control Panel'!$B$20*(K5*O5)+'Control Panel'!$B$21*(D5*(1+N5)^1*O5)+'Control Panel'!$B$22*(I5*O5)+'Control Panel'!$B$23*(R5*(1+IFERROR(D5/H5-1,0))))/'Control Panel'!$B$24,0)</f>
        <v/>
      </c>
      <c r="AC5" s="34">
        <f>IFERROR(('Control Panel'!$B$17*(('Control Panel'!$B$28*D5+'Control Panel'!$B$29*E5+'Control Panel'!$B$30*F5)*P5)+'Control Panel'!$B$18*((('Control Panel'!$B$27*(1-'Control Panel'!$B$27)^0*IFERROR(INDEX($AW5:$BT5,1,'Control Panel'!$B$8-0),0)+'Control Panel'!$B$27*(1-'Control Panel'!$B$27)^1*IFERROR(INDEX($AW5:$BT5,1,'Control Panel'!$B$8-1),0)+'Control Panel'!$B$27*(1-'Control Panel'!$B$27)^2*IFERROR(INDEX($AW5:$BT5,1,'Control Panel'!$B$8-2),0)+'Control Panel'!$B$27*(1-'Control Panel'!$B$27)^3*IFERROR(INDEX($AW5:$BT5,1,'Control Panel'!$B$8-3),0)+'Control Panel'!$B$27*(1-'Control Panel'!$B$27)^4*IFERROR(INDEX($AW5:$BT5,1,'Control Panel'!$B$8-4),0)+'Control Panel'!$B$27*(1-'Control Panel'!$B$27)^5*IFERROR(INDEX($AW5:$BT5,1,'Control Panel'!$B$8-5),0))/(1-(1-'Control Panel'!$B$27)^6))*P5)+'Control Panel'!$B$19*((D5+M5*2)*P5)+'Control Panel'!$B$20*(K5*P5)+'Control Panel'!$B$21*(D5*(1+N5)^2*P5)+'Control Panel'!$B$22*(I5*P5)+'Control Panel'!$B$23*(S5*(1+IFERROR(D5/H5-1,0))))/'Control Panel'!$B$24,0)</f>
        <v/>
      </c>
      <c r="AD5" s="34">
        <f>IFERROR(('Control Panel'!$B$17*(('Control Panel'!$B$28*D5+'Control Panel'!$B$29*E5+'Control Panel'!$B$30*F5)*Q5)+'Control Panel'!$B$18*((('Control Panel'!$B$27*(1-'Control Panel'!$B$27)^0*IFERROR(INDEX($AW5:$BT5,1,'Control Panel'!$B$8-0),0)+'Control Panel'!$B$27*(1-'Control Panel'!$B$27)^1*IFERROR(INDEX($AW5:$BT5,1,'Control Panel'!$B$8-1),0)+'Control Panel'!$B$27*(1-'Control Panel'!$B$27)^2*IFERROR(INDEX($AW5:$BT5,1,'Control Panel'!$B$8-2),0)+'Control Panel'!$B$27*(1-'Control Panel'!$B$27)^3*IFERROR(INDEX($AW5:$BT5,1,'Control Panel'!$B$8-3),0)+'Control Panel'!$B$27*(1-'Control Panel'!$B$27)^4*IFERROR(INDEX($AW5:$BT5,1,'Control Panel'!$B$8-4),0)+'Control Panel'!$B$27*(1-'Control Panel'!$B$27)^5*IFERROR(INDEX($AW5:$BT5,1,'Control Panel'!$B$8-5),0))/(1-(1-'Control Panel'!$B$27)^6))*Q5)+'Control Panel'!$B$19*((D5+M5*3)*Q5)+'Control Panel'!$B$20*(K5*Q5)+'Control Panel'!$B$21*(D5*(1+N5)^3*Q5)+'Control Panel'!$B$22*(I5*Q5)+'Control Panel'!$B$23*(T5*(1+IFERROR(D5/H5-1,0))))/'Control Panel'!$B$24,0)</f>
        <v/>
      </c>
      <c r="AE5" s="34">
        <f>MAX(0,AB5*(1+U5+V5))</f>
        <v/>
      </c>
      <c r="AF5" s="34">
        <f>MAX(0,AC5*(1+U5+W5))</f>
        <v/>
      </c>
      <c r="AG5" s="34">
        <f>MAX(0,AD5*(1+U5+X5))</f>
        <v/>
      </c>
      <c r="AH5" s="35">
        <f>IFERROR(('Control Panel'!$B$33*AB5+'Control Panel'!$B$34*AE5+'Control Panel'!$B$35*(AB5*(1+L5+V5)))/('Control Panel'!$B$33+'Control Panel'!$B$34+'Control Panel'!$B$35),0)</f>
        <v/>
      </c>
      <c r="AI5" s="35">
        <f>IFERROR(('Control Panel'!$B$33*AC5+'Control Panel'!$B$34*AF5+'Control Panel'!$B$35*(AC5*(1+L5+W5)))/('Control Panel'!$B$33+'Control Panel'!$B$34+'Control Panel'!$B$35),0)</f>
        <v/>
      </c>
      <c r="AJ5" s="35">
        <f>IFERROR(('Control Panel'!$B$33*AD5+'Control Panel'!$B$34*AG5+'Control Panel'!$B$35*(AD5*(1+L5+X5)))/('Control Panel'!$B$33+'Control Panel'!$B$34+'Control Panel'!$B$35),0)</f>
        <v/>
      </c>
      <c r="AK5" s="35">
        <f>AH5*'Control Panel'!$B$39+Y5</f>
        <v/>
      </c>
      <c r="AL5" s="35">
        <f>AI5*'Control Panel'!$B$39+Z5</f>
        <v/>
      </c>
      <c r="AM5" s="35">
        <f>AJ5*'Control Panel'!$B$39+AA5</f>
        <v/>
      </c>
      <c r="AN5" s="35">
        <f>AH5*'Control Panel'!$B$40+Y5</f>
        <v/>
      </c>
      <c r="AO5" s="35">
        <f>AI5*'Control Panel'!$B$40+Z5</f>
        <v/>
      </c>
      <c r="AP5" s="35">
        <f>AJ5*'Control Panel'!$B$40+AA5</f>
        <v/>
      </c>
      <c r="AQ5" s="35">
        <f>AH5*'Control Panel'!$B$41+Y5</f>
        <v/>
      </c>
      <c r="AR5" s="35">
        <f>AI5*'Control Panel'!$B$41+Z5</f>
        <v/>
      </c>
      <c r="AS5" s="35">
        <f>AJ5*'Control Panel'!$B$41+AA5</f>
        <v/>
      </c>
      <c r="AT5" s="36">
        <f>AH5*'Control Panel'!$B$42+Y5</f>
        <v/>
      </c>
      <c r="AU5" s="36">
        <f>AI5*'Control Panel'!$B$42+Z5</f>
        <v/>
      </c>
      <c r="AV5" s="36">
        <f>AJ5*'Control Panel'!$B$42+AA5</f>
        <v/>
      </c>
      <c r="AW5" s="37">
        <f>SUMIFS('Primary Sales History'!$C$4:$C$33,'Primary Sales History'!$A$4:$A$33,$A5,'Primary Sales History'!$B$4:$B$33,$B5)</f>
        <v/>
      </c>
      <c r="AX5" s="37">
        <f>SUMIFS('Primary Sales History'!$D$4:$D$33,'Primary Sales History'!$A$4:$A$33,$A5,'Primary Sales History'!$B$4:$B$33,$B5)</f>
        <v/>
      </c>
      <c r="AY5" s="37">
        <f>SUMIFS('Primary Sales History'!$E$4:$E$33,'Primary Sales History'!$A$4:$A$33,$A5,'Primary Sales History'!$B$4:$B$33,$B5)</f>
        <v/>
      </c>
      <c r="AZ5" s="37">
        <f>SUMIFS('Primary Sales History'!$F$4:$F$33,'Primary Sales History'!$A$4:$A$33,$A5,'Primary Sales History'!$B$4:$B$33,$B5)</f>
        <v/>
      </c>
      <c r="BA5" s="37">
        <f>SUMIFS('Primary Sales History'!$G$4:$G$33,'Primary Sales History'!$A$4:$A$33,$A5,'Primary Sales History'!$B$4:$B$33,$B5)</f>
        <v/>
      </c>
      <c r="BB5" s="37">
        <f>SUMIFS('Primary Sales History'!$H$4:$H$33,'Primary Sales History'!$A$4:$A$33,$A5,'Primary Sales History'!$B$4:$B$33,$B5)</f>
        <v/>
      </c>
      <c r="BC5" s="37">
        <f>SUMIFS('Primary Sales History'!$I$4:$I$33,'Primary Sales History'!$A$4:$A$33,$A5,'Primary Sales History'!$B$4:$B$33,$B5)</f>
        <v/>
      </c>
      <c r="BD5" s="37">
        <f>SUMIFS('Primary Sales History'!$J$4:$J$33,'Primary Sales History'!$A$4:$A$33,$A5,'Primary Sales History'!$B$4:$B$33,$B5)</f>
        <v/>
      </c>
      <c r="BE5" s="37">
        <f>SUMIFS('Primary Sales History'!$K$4:$K$33,'Primary Sales History'!$A$4:$A$33,$A5,'Primary Sales History'!$B$4:$B$33,$B5)</f>
        <v/>
      </c>
      <c r="BF5" s="37">
        <f>SUMIFS('Primary Sales History'!$L$4:$L$33,'Primary Sales History'!$A$4:$A$33,$A5,'Primary Sales History'!$B$4:$B$33,$B5)</f>
        <v/>
      </c>
      <c r="BG5" s="37">
        <f>SUMIFS('Primary Sales History'!$M$4:$M$33,'Primary Sales History'!$A$4:$A$33,$A5,'Primary Sales History'!$B$4:$B$33,$B5)</f>
        <v/>
      </c>
      <c r="BH5" s="37">
        <f>SUMIFS('Primary Sales History'!$N$4:$N$33,'Primary Sales History'!$A$4:$A$33,$A5,'Primary Sales History'!$B$4:$B$33,$B5)</f>
        <v/>
      </c>
      <c r="BI5" s="37">
        <f>SUMIFS('Primary Sales History'!$O$4:$O$33,'Primary Sales History'!$A$4:$A$33,$A5,'Primary Sales History'!$B$4:$B$33,$B5)</f>
        <v/>
      </c>
      <c r="BJ5" s="37">
        <f>SUMIFS('Primary Sales History'!$P$4:$P$33,'Primary Sales History'!$A$4:$A$33,$A5,'Primary Sales History'!$B$4:$B$33,$B5)</f>
        <v/>
      </c>
      <c r="BK5" s="37" t="n">
        <v>0</v>
      </c>
      <c r="BL5" s="37" t="n">
        <v>0</v>
      </c>
      <c r="BM5" s="37" t="n">
        <v>0</v>
      </c>
      <c r="BN5" s="37" t="n">
        <v>0</v>
      </c>
      <c r="BO5" s="37" t="n">
        <v>0</v>
      </c>
      <c r="BP5" s="37" t="n">
        <v>0</v>
      </c>
      <c r="BQ5" s="37" t="n">
        <v>0</v>
      </c>
      <c r="BR5" s="37" t="n">
        <v>0</v>
      </c>
      <c r="BS5" s="37" t="n">
        <v>0</v>
      </c>
      <c r="BT5" s="37" t="n">
        <v>0</v>
      </c>
    </row>
    <row r="6">
      <c r="A6" s="31" t="inlineStr">
        <is>
          <t>The Derma Co.</t>
        </is>
      </c>
      <c r="B6" s="31" t="inlineStr">
        <is>
          <t>Face</t>
        </is>
      </c>
      <c r="C6" s="32" t="inlineStr">
        <is>
          <t>Face</t>
        </is>
      </c>
      <c r="D6" s="4">
        <f>IFERROR(INDEX($AW6:$BT6,1,'Control Panel'!$B$8-0),0)</f>
        <v/>
      </c>
      <c r="E6" s="4">
        <f>IFERROR(INDEX($AW6:$BT6,1,'Control Panel'!$B$8-1),0)</f>
        <v/>
      </c>
      <c r="F6" s="4">
        <f>IFERROR(INDEX($AW6:$BT6,1,'Control Panel'!$B$8-2),0)</f>
        <v/>
      </c>
      <c r="G6" s="4">
        <f>IFERROR(INDEX($AW6:$BT6,1,'Control Panel'!$B$8-5),0)</f>
        <v/>
      </c>
      <c r="H6" s="4">
        <f>IFERROR(INDEX($AW6:$BT6,1,'Control Panel'!$B$8-11),0)</f>
        <v/>
      </c>
      <c r="I6" s="4">
        <f>AVERAGE(D6,E6,F6)</f>
        <v/>
      </c>
      <c r="J6" s="4">
        <f>(D6+E6+F6+IFERROR(INDEX($AW6:$BT6,1,'Control Panel'!$B$8-3),0)+IFERROR(INDEX($AW6:$BT6,1,'Control Panel'!$B$8-4),0)+G6)/6</f>
        <v/>
      </c>
      <c r="K6" s="4">
        <f>(IFERROR(INDEX($AW6:$BT6,1,'Control Panel'!$B$8-0),0)+IFERROR(INDEX($AW6:$BT6,1,'Control Panel'!$B$8-1),0)+IFERROR(INDEX($AW6:$BT6,1,'Control Panel'!$B$8-2),0)+IFERROR(INDEX($AW6:$BT6,1,'Control Panel'!$B$8-3),0)+IFERROR(INDEX($AW6:$BT6,1,'Control Panel'!$B$8-4),0)+IFERROR(INDEX($AW6:$BT6,1,'Control Panel'!$B$8-5),0)+IFERROR(INDEX($AW6:$BT6,1,'Control Panel'!$B$8-6),0)+IFERROR(INDEX($AW6:$BT6,1,'Control Panel'!$B$8-7),0)+IFERROR(INDEX($AW6:$BT6,1,'Control Panel'!$B$8-8),0)+IFERROR(INDEX($AW6:$BT6,1,'Control Panel'!$B$8-9),0)+IFERROR(INDEX($AW6:$BT6,1,'Control Panel'!$B$8-10),0)+IFERROR(INDEX($AW6:$BT6,1,'Control Panel'!$B$8-11),0))/12</f>
        <v/>
      </c>
      <c r="L6" s="4">
        <f>IFERROR(MAX(-'Control Panel'!$B$36,MIN('Control Panel'!$B$36,(I6-J6)/J6)),0)</f>
        <v/>
      </c>
      <c r="M6" s="4">
        <f>(D6-G6)/5</f>
        <v/>
      </c>
      <c r="N6" s="4">
        <f>IFERROR(IF(H6&gt;0,(D6/H6)^(1/12)-1,0),0)</f>
        <v/>
      </c>
      <c r="O6" s="4">
        <f>IFERROR((IFERROR(INDEX('Seasonality Matrix'!$B$4:$M$11,MATCH($C6,'Seasonality Matrix'!$A$4:$A$11,0),MATCH('Control Panel'!$B$12,'Seasonality Matrix'!$B$3:$M$3,0)),1))/(IFERROR(AVERAGE(INDEX('Seasonality Matrix'!$B$4:$M$11,MATCH($C6,'Seasonality Matrix'!$A$4:$A$11,0),0)),1)),1)</f>
        <v/>
      </c>
      <c r="P6" s="4">
        <f>IFERROR((IFERROR(INDEX('Seasonality Matrix'!$B$4:$M$11,MATCH($C6,'Seasonality Matrix'!$A$4:$A$11,0),MATCH('Control Panel'!$B$13,'Seasonality Matrix'!$B$3:$M$3,0)),1))/(IFERROR(AVERAGE(INDEX('Seasonality Matrix'!$B$4:$M$11,MATCH($C6,'Seasonality Matrix'!$A$4:$A$11,0),0)),1)),1)</f>
        <v/>
      </c>
      <c r="Q6" s="4">
        <f>IFERROR((IFERROR(INDEX('Seasonality Matrix'!$B$4:$M$11,MATCH($C6,'Seasonality Matrix'!$A$4:$A$11,0),MATCH('Control Panel'!$B$14,'Seasonality Matrix'!$B$3:$M$3,0)),1))/(IFERROR(AVERAGE(INDEX('Seasonality Matrix'!$B$4:$M$11,MATCH($C6,'Seasonality Matrix'!$A$4:$A$11,0),0)),1)),1)</f>
        <v/>
      </c>
      <c r="R6" s="4">
        <f>IFERROR(INDEX($AW6:$BT6,1,'Control Panel'!$B$9-12),0)</f>
        <v/>
      </c>
      <c r="S6" s="4">
        <f>IFERROR(INDEX($AW6:$BT6,1,'Control Panel'!$B$10-12),0)</f>
        <v/>
      </c>
      <c r="T6" s="4">
        <f>IFERROR(INDEX($AW6:$BT6,1,'Control Panel'!$B$11-12),0)</f>
        <v/>
      </c>
      <c r="U6" s="33">
        <f>'Control Panel'!$B$45</f>
        <v/>
      </c>
      <c r="V6" s="16">
        <f>IFERROR(SUMIFS('Promotion Calendar'!$G$4:$G$12,'Promotion Calendar'!$A$4:$A$12,$A6,'Promotion Calendar'!$B$4:$B$12,$B6,'Promotion Calendar'!$C$4:$C$12,'Control Panel'!$B$4),0)</f>
        <v/>
      </c>
      <c r="W6" s="16">
        <f>IFERROR(SUMIFS('Promotion Calendar'!$G$4:$G$12,'Promotion Calendar'!$A$4:$A$12,$A6,'Promotion Calendar'!$B$4:$B$12,$B6,'Promotion Calendar'!$C$4:$C$12,'Control Panel'!$B$6),0)</f>
        <v/>
      </c>
      <c r="X6" s="16">
        <f>IFERROR(SUMIFS('Promotion Calendar'!$G$4:$G$12,'Promotion Calendar'!$A$4:$A$12,$A6,'Promotion Calendar'!$B$4:$B$12,$B6,'Promotion Calendar'!$C$4:$C$12,'Control Panel'!$B$7),0)</f>
        <v/>
      </c>
      <c r="Y6" s="14">
        <f>IFERROR(SUMIFS('NPI &amp; EPD Planning'!$I$4:$I$10,'NPI &amp; EPD Planning'!$A$4:$A$10,$A6,'NPI &amp; EPD Planning'!$B$4:$B$10,$B6,'NPI &amp; EPD Planning'!$D$4:$D$10,'Control Panel'!$B$4),0)</f>
        <v/>
      </c>
      <c r="Z6" s="14">
        <f>IFERROR(SUMIFS('NPI &amp; EPD Planning'!$I$4:$I$10,'NPI &amp; EPD Planning'!$A$4:$A$10,$A6,'NPI &amp; EPD Planning'!$B$4:$B$10,$B6,'NPI &amp; EPD Planning'!$D$4:$D$10,'Control Panel'!$B$6),0)</f>
        <v/>
      </c>
      <c r="AA6" s="14">
        <f>IFERROR(SUMIFS('NPI &amp; EPD Planning'!$I$4:$I$10,'NPI &amp; EPD Planning'!$A$4:$A$10,$A6,'NPI &amp; EPD Planning'!$B$4:$B$10,$B6,'NPI &amp; EPD Planning'!$D$4:$D$10,'Control Panel'!$B$7),0)</f>
        <v/>
      </c>
      <c r="AB6" s="34">
        <f>IFERROR(('Control Panel'!$B$17*(('Control Panel'!$B$28*D6+'Control Panel'!$B$29*E6+'Control Panel'!$B$30*F6)*O6)+'Control Panel'!$B$18*((('Control Panel'!$B$27*(1-'Control Panel'!$B$27)^0*IFERROR(INDEX($AW6:$BT6,1,'Control Panel'!$B$8-0),0)+'Control Panel'!$B$27*(1-'Control Panel'!$B$27)^1*IFERROR(INDEX($AW6:$BT6,1,'Control Panel'!$B$8-1),0)+'Control Panel'!$B$27*(1-'Control Panel'!$B$27)^2*IFERROR(INDEX($AW6:$BT6,1,'Control Panel'!$B$8-2),0)+'Control Panel'!$B$27*(1-'Control Panel'!$B$27)^3*IFERROR(INDEX($AW6:$BT6,1,'Control Panel'!$B$8-3),0)+'Control Panel'!$B$27*(1-'Control Panel'!$B$27)^4*IFERROR(INDEX($AW6:$BT6,1,'Control Panel'!$B$8-4),0)+'Control Panel'!$B$27*(1-'Control Panel'!$B$27)^5*IFERROR(INDEX($AW6:$BT6,1,'Control Panel'!$B$8-5),0))/(1-(1-'Control Panel'!$B$27)^6))*O6)+'Control Panel'!$B$19*((D6+M6*1)*O6)+'Control Panel'!$B$20*(K6*O6)+'Control Panel'!$B$21*(D6*(1+N6)^1*O6)+'Control Panel'!$B$22*(I6*O6)+'Control Panel'!$B$23*(R6*(1+IFERROR(D6/H6-1,0))))/'Control Panel'!$B$24,0)</f>
        <v/>
      </c>
      <c r="AC6" s="34">
        <f>IFERROR(('Control Panel'!$B$17*(('Control Panel'!$B$28*D6+'Control Panel'!$B$29*E6+'Control Panel'!$B$30*F6)*P6)+'Control Panel'!$B$18*((('Control Panel'!$B$27*(1-'Control Panel'!$B$27)^0*IFERROR(INDEX($AW6:$BT6,1,'Control Panel'!$B$8-0),0)+'Control Panel'!$B$27*(1-'Control Panel'!$B$27)^1*IFERROR(INDEX($AW6:$BT6,1,'Control Panel'!$B$8-1),0)+'Control Panel'!$B$27*(1-'Control Panel'!$B$27)^2*IFERROR(INDEX($AW6:$BT6,1,'Control Panel'!$B$8-2),0)+'Control Panel'!$B$27*(1-'Control Panel'!$B$27)^3*IFERROR(INDEX($AW6:$BT6,1,'Control Panel'!$B$8-3),0)+'Control Panel'!$B$27*(1-'Control Panel'!$B$27)^4*IFERROR(INDEX($AW6:$BT6,1,'Control Panel'!$B$8-4),0)+'Control Panel'!$B$27*(1-'Control Panel'!$B$27)^5*IFERROR(INDEX($AW6:$BT6,1,'Control Panel'!$B$8-5),0))/(1-(1-'Control Panel'!$B$27)^6))*P6)+'Control Panel'!$B$19*((D6+M6*2)*P6)+'Control Panel'!$B$20*(K6*P6)+'Control Panel'!$B$21*(D6*(1+N6)^2*P6)+'Control Panel'!$B$22*(I6*P6)+'Control Panel'!$B$23*(S6*(1+IFERROR(D6/H6-1,0))))/'Control Panel'!$B$24,0)</f>
        <v/>
      </c>
      <c r="AD6" s="34">
        <f>IFERROR(('Control Panel'!$B$17*(('Control Panel'!$B$28*D6+'Control Panel'!$B$29*E6+'Control Panel'!$B$30*F6)*Q6)+'Control Panel'!$B$18*((('Control Panel'!$B$27*(1-'Control Panel'!$B$27)^0*IFERROR(INDEX($AW6:$BT6,1,'Control Panel'!$B$8-0),0)+'Control Panel'!$B$27*(1-'Control Panel'!$B$27)^1*IFERROR(INDEX($AW6:$BT6,1,'Control Panel'!$B$8-1),0)+'Control Panel'!$B$27*(1-'Control Panel'!$B$27)^2*IFERROR(INDEX($AW6:$BT6,1,'Control Panel'!$B$8-2),0)+'Control Panel'!$B$27*(1-'Control Panel'!$B$27)^3*IFERROR(INDEX($AW6:$BT6,1,'Control Panel'!$B$8-3),0)+'Control Panel'!$B$27*(1-'Control Panel'!$B$27)^4*IFERROR(INDEX($AW6:$BT6,1,'Control Panel'!$B$8-4),0)+'Control Panel'!$B$27*(1-'Control Panel'!$B$27)^5*IFERROR(INDEX($AW6:$BT6,1,'Control Panel'!$B$8-5),0))/(1-(1-'Control Panel'!$B$27)^6))*Q6)+'Control Panel'!$B$19*((D6+M6*3)*Q6)+'Control Panel'!$B$20*(K6*Q6)+'Control Panel'!$B$21*(D6*(1+N6)^3*Q6)+'Control Panel'!$B$22*(I6*Q6)+'Control Panel'!$B$23*(T6*(1+IFERROR(D6/H6-1,0))))/'Control Panel'!$B$24,0)</f>
        <v/>
      </c>
      <c r="AE6" s="34">
        <f>MAX(0,AB6*(1+U6+V6))</f>
        <v/>
      </c>
      <c r="AF6" s="34">
        <f>MAX(0,AC6*(1+U6+W6))</f>
        <v/>
      </c>
      <c r="AG6" s="34">
        <f>MAX(0,AD6*(1+U6+X6))</f>
        <v/>
      </c>
      <c r="AH6" s="35">
        <f>IFERROR(('Control Panel'!$B$33*AB6+'Control Panel'!$B$34*AE6+'Control Panel'!$B$35*(AB6*(1+L6+V6)))/('Control Panel'!$B$33+'Control Panel'!$B$34+'Control Panel'!$B$35),0)</f>
        <v/>
      </c>
      <c r="AI6" s="35">
        <f>IFERROR(('Control Panel'!$B$33*AC6+'Control Panel'!$B$34*AF6+'Control Panel'!$B$35*(AC6*(1+L6+W6)))/('Control Panel'!$B$33+'Control Panel'!$B$34+'Control Panel'!$B$35),0)</f>
        <v/>
      </c>
      <c r="AJ6" s="35">
        <f>IFERROR(('Control Panel'!$B$33*AD6+'Control Panel'!$B$34*AG6+'Control Panel'!$B$35*(AD6*(1+L6+X6)))/('Control Panel'!$B$33+'Control Panel'!$B$34+'Control Panel'!$B$35),0)</f>
        <v/>
      </c>
      <c r="AK6" s="35">
        <f>AH6*'Control Panel'!$B$39+Y6</f>
        <v/>
      </c>
      <c r="AL6" s="35">
        <f>AI6*'Control Panel'!$B$39+Z6</f>
        <v/>
      </c>
      <c r="AM6" s="35">
        <f>AJ6*'Control Panel'!$B$39+AA6</f>
        <v/>
      </c>
      <c r="AN6" s="35">
        <f>AH6*'Control Panel'!$B$40+Y6</f>
        <v/>
      </c>
      <c r="AO6" s="35">
        <f>AI6*'Control Panel'!$B$40+Z6</f>
        <v/>
      </c>
      <c r="AP6" s="35">
        <f>AJ6*'Control Panel'!$B$40+AA6</f>
        <v/>
      </c>
      <c r="AQ6" s="35">
        <f>AH6*'Control Panel'!$B$41+Y6</f>
        <v/>
      </c>
      <c r="AR6" s="35">
        <f>AI6*'Control Panel'!$B$41+Z6</f>
        <v/>
      </c>
      <c r="AS6" s="35">
        <f>AJ6*'Control Panel'!$B$41+AA6</f>
        <v/>
      </c>
      <c r="AT6" s="36">
        <f>AH6*'Control Panel'!$B$42+Y6</f>
        <v/>
      </c>
      <c r="AU6" s="36">
        <f>AI6*'Control Panel'!$B$42+Z6</f>
        <v/>
      </c>
      <c r="AV6" s="36">
        <f>AJ6*'Control Panel'!$B$42+AA6</f>
        <v/>
      </c>
      <c r="AW6" s="37">
        <f>SUMIFS('Primary Sales History'!$C$4:$C$33,'Primary Sales History'!$A$4:$A$33,$A6,'Primary Sales History'!$B$4:$B$33,$B6)</f>
        <v/>
      </c>
      <c r="AX6" s="37">
        <f>SUMIFS('Primary Sales History'!$D$4:$D$33,'Primary Sales History'!$A$4:$A$33,$A6,'Primary Sales History'!$B$4:$B$33,$B6)</f>
        <v/>
      </c>
      <c r="AY6" s="37">
        <f>SUMIFS('Primary Sales History'!$E$4:$E$33,'Primary Sales History'!$A$4:$A$33,$A6,'Primary Sales History'!$B$4:$B$33,$B6)</f>
        <v/>
      </c>
      <c r="AZ6" s="37">
        <f>SUMIFS('Primary Sales History'!$F$4:$F$33,'Primary Sales History'!$A$4:$A$33,$A6,'Primary Sales History'!$B$4:$B$33,$B6)</f>
        <v/>
      </c>
      <c r="BA6" s="37">
        <f>SUMIFS('Primary Sales History'!$G$4:$G$33,'Primary Sales History'!$A$4:$A$33,$A6,'Primary Sales History'!$B$4:$B$33,$B6)</f>
        <v/>
      </c>
      <c r="BB6" s="37">
        <f>SUMIFS('Primary Sales History'!$H$4:$H$33,'Primary Sales History'!$A$4:$A$33,$A6,'Primary Sales History'!$B$4:$B$33,$B6)</f>
        <v/>
      </c>
      <c r="BC6" s="37">
        <f>SUMIFS('Primary Sales History'!$I$4:$I$33,'Primary Sales History'!$A$4:$A$33,$A6,'Primary Sales History'!$B$4:$B$33,$B6)</f>
        <v/>
      </c>
      <c r="BD6" s="37">
        <f>SUMIFS('Primary Sales History'!$J$4:$J$33,'Primary Sales History'!$A$4:$A$33,$A6,'Primary Sales History'!$B$4:$B$33,$B6)</f>
        <v/>
      </c>
      <c r="BE6" s="37">
        <f>SUMIFS('Primary Sales History'!$K$4:$K$33,'Primary Sales History'!$A$4:$A$33,$A6,'Primary Sales History'!$B$4:$B$33,$B6)</f>
        <v/>
      </c>
      <c r="BF6" s="37">
        <f>SUMIFS('Primary Sales History'!$L$4:$L$33,'Primary Sales History'!$A$4:$A$33,$A6,'Primary Sales History'!$B$4:$B$33,$B6)</f>
        <v/>
      </c>
      <c r="BG6" s="37">
        <f>SUMIFS('Primary Sales History'!$M$4:$M$33,'Primary Sales History'!$A$4:$A$33,$A6,'Primary Sales History'!$B$4:$B$33,$B6)</f>
        <v/>
      </c>
      <c r="BH6" s="37">
        <f>SUMIFS('Primary Sales History'!$N$4:$N$33,'Primary Sales History'!$A$4:$A$33,$A6,'Primary Sales History'!$B$4:$B$33,$B6)</f>
        <v/>
      </c>
      <c r="BI6" s="37">
        <f>SUMIFS('Primary Sales History'!$O$4:$O$33,'Primary Sales History'!$A$4:$A$33,$A6,'Primary Sales History'!$B$4:$B$33,$B6)</f>
        <v/>
      </c>
      <c r="BJ6" s="37">
        <f>SUMIFS('Primary Sales History'!$P$4:$P$33,'Primary Sales History'!$A$4:$A$33,$A6,'Primary Sales History'!$B$4:$B$33,$B6)</f>
        <v/>
      </c>
      <c r="BK6" s="37" t="n">
        <v>0</v>
      </c>
      <c r="BL6" s="37" t="n">
        <v>0</v>
      </c>
      <c r="BM6" s="37" t="n">
        <v>0</v>
      </c>
      <c r="BN6" s="37" t="n">
        <v>0</v>
      </c>
      <c r="BO6" s="37" t="n">
        <v>0</v>
      </c>
      <c r="BP6" s="37" t="n">
        <v>0</v>
      </c>
      <c r="BQ6" s="37" t="n">
        <v>0</v>
      </c>
      <c r="BR6" s="37" t="n">
        <v>0</v>
      </c>
      <c r="BS6" s="37" t="n">
        <v>0</v>
      </c>
      <c r="BT6" s="37" t="n">
        <v>0</v>
      </c>
    </row>
    <row r="7">
      <c r="A7" s="31" t="inlineStr">
        <is>
          <t>Mamaearth</t>
        </is>
      </c>
      <c r="B7" s="31" t="inlineStr">
        <is>
          <t>Body</t>
        </is>
      </c>
      <c r="C7" s="32" t="inlineStr">
        <is>
          <t>Body</t>
        </is>
      </c>
      <c r="D7" s="4">
        <f>IFERROR(INDEX($AW7:$BT7,1,'Control Panel'!$B$8-0),0)</f>
        <v/>
      </c>
      <c r="E7" s="4">
        <f>IFERROR(INDEX($AW7:$BT7,1,'Control Panel'!$B$8-1),0)</f>
        <v/>
      </c>
      <c r="F7" s="4">
        <f>IFERROR(INDEX($AW7:$BT7,1,'Control Panel'!$B$8-2),0)</f>
        <v/>
      </c>
      <c r="G7" s="4">
        <f>IFERROR(INDEX($AW7:$BT7,1,'Control Panel'!$B$8-5),0)</f>
        <v/>
      </c>
      <c r="H7" s="4">
        <f>IFERROR(INDEX($AW7:$BT7,1,'Control Panel'!$B$8-11),0)</f>
        <v/>
      </c>
      <c r="I7" s="4">
        <f>AVERAGE(D7,E7,F7)</f>
        <v/>
      </c>
      <c r="J7" s="4">
        <f>(D7+E7+F7+IFERROR(INDEX($AW7:$BT7,1,'Control Panel'!$B$8-3),0)+IFERROR(INDEX($AW7:$BT7,1,'Control Panel'!$B$8-4),0)+G7)/6</f>
        <v/>
      </c>
      <c r="K7" s="4">
        <f>(IFERROR(INDEX($AW7:$BT7,1,'Control Panel'!$B$8-0),0)+IFERROR(INDEX($AW7:$BT7,1,'Control Panel'!$B$8-1),0)+IFERROR(INDEX($AW7:$BT7,1,'Control Panel'!$B$8-2),0)+IFERROR(INDEX($AW7:$BT7,1,'Control Panel'!$B$8-3),0)+IFERROR(INDEX($AW7:$BT7,1,'Control Panel'!$B$8-4),0)+IFERROR(INDEX($AW7:$BT7,1,'Control Panel'!$B$8-5),0)+IFERROR(INDEX($AW7:$BT7,1,'Control Panel'!$B$8-6),0)+IFERROR(INDEX($AW7:$BT7,1,'Control Panel'!$B$8-7),0)+IFERROR(INDEX($AW7:$BT7,1,'Control Panel'!$B$8-8),0)+IFERROR(INDEX($AW7:$BT7,1,'Control Panel'!$B$8-9),0)+IFERROR(INDEX($AW7:$BT7,1,'Control Panel'!$B$8-10),0)+IFERROR(INDEX($AW7:$BT7,1,'Control Panel'!$B$8-11),0))/12</f>
        <v/>
      </c>
      <c r="L7" s="4">
        <f>IFERROR(MAX(-'Control Panel'!$B$36,MIN('Control Panel'!$B$36,(I7-J7)/J7)),0)</f>
        <v/>
      </c>
      <c r="M7" s="4">
        <f>(D7-G7)/5</f>
        <v/>
      </c>
      <c r="N7" s="4">
        <f>IFERROR(IF(H7&gt;0,(D7/H7)^(1/12)-1,0),0)</f>
        <v/>
      </c>
      <c r="O7" s="4">
        <f>IFERROR((IFERROR(INDEX('Seasonality Matrix'!$B$4:$M$11,MATCH($C7,'Seasonality Matrix'!$A$4:$A$11,0),MATCH('Control Panel'!$B$12,'Seasonality Matrix'!$B$3:$M$3,0)),1))/(IFERROR(AVERAGE(INDEX('Seasonality Matrix'!$B$4:$M$11,MATCH($C7,'Seasonality Matrix'!$A$4:$A$11,0),0)),1)),1)</f>
        <v/>
      </c>
      <c r="P7" s="4">
        <f>IFERROR((IFERROR(INDEX('Seasonality Matrix'!$B$4:$M$11,MATCH($C7,'Seasonality Matrix'!$A$4:$A$11,0),MATCH('Control Panel'!$B$13,'Seasonality Matrix'!$B$3:$M$3,0)),1))/(IFERROR(AVERAGE(INDEX('Seasonality Matrix'!$B$4:$M$11,MATCH($C7,'Seasonality Matrix'!$A$4:$A$11,0),0)),1)),1)</f>
        <v/>
      </c>
      <c r="Q7" s="4">
        <f>IFERROR((IFERROR(INDEX('Seasonality Matrix'!$B$4:$M$11,MATCH($C7,'Seasonality Matrix'!$A$4:$A$11,0),MATCH('Control Panel'!$B$14,'Seasonality Matrix'!$B$3:$M$3,0)),1))/(IFERROR(AVERAGE(INDEX('Seasonality Matrix'!$B$4:$M$11,MATCH($C7,'Seasonality Matrix'!$A$4:$A$11,0),0)),1)),1)</f>
        <v/>
      </c>
      <c r="R7" s="4">
        <f>IFERROR(INDEX($AW7:$BT7,1,'Control Panel'!$B$9-12),0)</f>
        <v/>
      </c>
      <c r="S7" s="4">
        <f>IFERROR(INDEX($AW7:$BT7,1,'Control Panel'!$B$10-12),0)</f>
        <v/>
      </c>
      <c r="T7" s="4">
        <f>IFERROR(INDEX($AW7:$BT7,1,'Control Panel'!$B$11-12),0)</f>
        <v/>
      </c>
      <c r="U7" s="33">
        <f>'Control Panel'!$B$45</f>
        <v/>
      </c>
      <c r="V7" s="16">
        <f>IFERROR(SUMIFS('Promotion Calendar'!$G$4:$G$12,'Promotion Calendar'!$A$4:$A$12,$A7,'Promotion Calendar'!$B$4:$B$12,$B7,'Promotion Calendar'!$C$4:$C$12,'Control Panel'!$B$4),0)</f>
        <v/>
      </c>
      <c r="W7" s="16">
        <f>IFERROR(SUMIFS('Promotion Calendar'!$G$4:$G$12,'Promotion Calendar'!$A$4:$A$12,$A7,'Promotion Calendar'!$B$4:$B$12,$B7,'Promotion Calendar'!$C$4:$C$12,'Control Panel'!$B$6),0)</f>
        <v/>
      </c>
      <c r="X7" s="16">
        <f>IFERROR(SUMIFS('Promotion Calendar'!$G$4:$G$12,'Promotion Calendar'!$A$4:$A$12,$A7,'Promotion Calendar'!$B$4:$B$12,$B7,'Promotion Calendar'!$C$4:$C$12,'Control Panel'!$B$7),0)</f>
        <v/>
      </c>
      <c r="Y7" s="14">
        <f>IFERROR(SUMIFS('NPI &amp; EPD Planning'!$I$4:$I$10,'NPI &amp; EPD Planning'!$A$4:$A$10,$A7,'NPI &amp; EPD Planning'!$B$4:$B$10,$B7,'NPI &amp; EPD Planning'!$D$4:$D$10,'Control Panel'!$B$4),0)</f>
        <v/>
      </c>
      <c r="Z7" s="14">
        <f>IFERROR(SUMIFS('NPI &amp; EPD Planning'!$I$4:$I$10,'NPI &amp; EPD Planning'!$A$4:$A$10,$A7,'NPI &amp; EPD Planning'!$B$4:$B$10,$B7,'NPI &amp; EPD Planning'!$D$4:$D$10,'Control Panel'!$B$6),0)</f>
        <v/>
      </c>
      <c r="AA7" s="14">
        <f>IFERROR(SUMIFS('NPI &amp; EPD Planning'!$I$4:$I$10,'NPI &amp; EPD Planning'!$A$4:$A$10,$A7,'NPI &amp; EPD Planning'!$B$4:$B$10,$B7,'NPI &amp; EPD Planning'!$D$4:$D$10,'Control Panel'!$B$7),0)</f>
        <v/>
      </c>
      <c r="AB7" s="34">
        <f>IFERROR(('Control Panel'!$B$17*(('Control Panel'!$B$28*D7+'Control Panel'!$B$29*E7+'Control Panel'!$B$30*F7)*O7)+'Control Panel'!$B$18*((('Control Panel'!$B$27*(1-'Control Panel'!$B$27)^0*IFERROR(INDEX($AW7:$BT7,1,'Control Panel'!$B$8-0),0)+'Control Panel'!$B$27*(1-'Control Panel'!$B$27)^1*IFERROR(INDEX($AW7:$BT7,1,'Control Panel'!$B$8-1),0)+'Control Panel'!$B$27*(1-'Control Panel'!$B$27)^2*IFERROR(INDEX($AW7:$BT7,1,'Control Panel'!$B$8-2),0)+'Control Panel'!$B$27*(1-'Control Panel'!$B$27)^3*IFERROR(INDEX($AW7:$BT7,1,'Control Panel'!$B$8-3),0)+'Control Panel'!$B$27*(1-'Control Panel'!$B$27)^4*IFERROR(INDEX($AW7:$BT7,1,'Control Panel'!$B$8-4),0)+'Control Panel'!$B$27*(1-'Control Panel'!$B$27)^5*IFERROR(INDEX($AW7:$BT7,1,'Control Panel'!$B$8-5),0))/(1-(1-'Control Panel'!$B$27)^6))*O7)+'Control Panel'!$B$19*((D7+M7*1)*O7)+'Control Panel'!$B$20*(K7*O7)+'Control Panel'!$B$21*(D7*(1+N7)^1*O7)+'Control Panel'!$B$22*(I7*O7)+'Control Panel'!$B$23*(R7*(1+IFERROR(D7/H7-1,0))))/'Control Panel'!$B$24,0)</f>
        <v/>
      </c>
      <c r="AC7" s="34">
        <f>IFERROR(('Control Panel'!$B$17*(('Control Panel'!$B$28*D7+'Control Panel'!$B$29*E7+'Control Panel'!$B$30*F7)*P7)+'Control Panel'!$B$18*((('Control Panel'!$B$27*(1-'Control Panel'!$B$27)^0*IFERROR(INDEX($AW7:$BT7,1,'Control Panel'!$B$8-0),0)+'Control Panel'!$B$27*(1-'Control Panel'!$B$27)^1*IFERROR(INDEX($AW7:$BT7,1,'Control Panel'!$B$8-1),0)+'Control Panel'!$B$27*(1-'Control Panel'!$B$27)^2*IFERROR(INDEX($AW7:$BT7,1,'Control Panel'!$B$8-2),0)+'Control Panel'!$B$27*(1-'Control Panel'!$B$27)^3*IFERROR(INDEX($AW7:$BT7,1,'Control Panel'!$B$8-3),0)+'Control Panel'!$B$27*(1-'Control Panel'!$B$27)^4*IFERROR(INDEX($AW7:$BT7,1,'Control Panel'!$B$8-4),0)+'Control Panel'!$B$27*(1-'Control Panel'!$B$27)^5*IFERROR(INDEX($AW7:$BT7,1,'Control Panel'!$B$8-5),0))/(1-(1-'Control Panel'!$B$27)^6))*P7)+'Control Panel'!$B$19*((D7+M7*2)*P7)+'Control Panel'!$B$20*(K7*P7)+'Control Panel'!$B$21*(D7*(1+N7)^2*P7)+'Control Panel'!$B$22*(I7*P7)+'Control Panel'!$B$23*(S7*(1+IFERROR(D7/H7-1,0))))/'Control Panel'!$B$24,0)</f>
        <v/>
      </c>
      <c r="AD7" s="34">
        <f>IFERROR(('Control Panel'!$B$17*(('Control Panel'!$B$28*D7+'Control Panel'!$B$29*E7+'Control Panel'!$B$30*F7)*Q7)+'Control Panel'!$B$18*((('Control Panel'!$B$27*(1-'Control Panel'!$B$27)^0*IFERROR(INDEX($AW7:$BT7,1,'Control Panel'!$B$8-0),0)+'Control Panel'!$B$27*(1-'Control Panel'!$B$27)^1*IFERROR(INDEX($AW7:$BT7,1,'Control Panel'!$B$8-1),0)+'Control Panel'!$B$27*(1-'Control Panel'!$B$27)^2*IFERROR(INDEX($AW7:$BT7,1,'Control Panel'!$B$8-2),0)+'Control Panel'!$B$27*(1-'Control Panel'!$B$27)^3*IFERROR(INDEX($AW7:$BT7,1,'Control Panel'!$B$8-3),0)+'Control Panel'!$B$27*(1-'Control Panel'!$B$27)^4*IFERROR(INDEX($AW7:$BT7,1,'Control Panel'!$B$8-4),0)+'Control Panel'!$B$27*(1-'Control Panel'!$B$27)^5*IFERROR(INDEX($AW7:$BT7,1,'Control Panel'!$B$8-5),0))/(1-(1-'Control Panel'!$B$27)^6))*Q7)+'Control Panel'!$B$19*((D7+M7*3)*Q7)+'Control Panel'!$B$20*(K7*Q7)+'Control Panel'!$B$21*(D7*(1+N7)^3*Q7)+'Control Panel'!$B$22*(I7*Q7)+'Control Panel'!$B$23*(T7*(1+IFERROR(D7/H7-1,0))))/'Control Panel'!$B$24,0)</f>
        <v/>
      </c>
      <c r="AE7" s="34">
        <f>MAX(0,AB7*(1+U7+V7))</f>
        <v/>
      </c>
      <c r="AF7" s="34">
        <f>MAX(0,AC7*(1+U7+W7))</f>
        <v/>
      </c>
      <c r="AG7" s="34">
        <f>MAX(0,AD7*(1+U7+X7))</f>
        <v/>
      </c>
      <c r="AH7" s="35">
        <f>IFERROR(('Control Panel'!$B$33*AB7+'Control Panel'!$B$34*AE7+'Control Panel'!$B$35*(AB7*(1+L7+V7)))/('Control Panel'!$B$33+'Control Panel'!$B$34+'Control Panel'!$B$35),0)</f>
        <v/>
      </c>
      <c r="AI7" s="35">
        <f>IFERROR(('Control Panel'!$B$33*AC7+'Control Panel'!$B$34*AF7+'Control Panel'!$B$35*(AC7*(1+L7+W7)))/('Control Panel'!$B$33+'Control Panel'!$B$34+'Control Panel'!$B$35),0)</f>
        <v/>
      </c>
      <c r="AJ7" s="35">
        <f>IFERROR(('Control Panel'!$B$33*AD7+'Control Panel'!$B$34*AG7+'Control Panel'!$B$35*(AD7*(1+L7+X7)))/('Control Panel'!$B$33+'Control Panel'!$B$34+'Control Panel'!$B$35),0)</f>
        <v/>
      </c>
      <c r="AK7" s="35">
        <f>AH7*'Control Panel'!$B$39+Y7</f>
        <v/>
      </c>
      <c r="AL7" s="35">
        <f>AI7*'Control Panel'!$B$39+Z7</f>
        <v/>
      </c>
      <c r="AM7" s="35">
        <f>AJ7*'Control Panel'!$B$39+AA7</f>
        <v/>
      </c>
      <c r="AN7" s="35">
        <f>AH7*'Control Panel'!$B$40+Y7</f>
        <v/>
      </c>
      <c r="AO7" s="35">
        <f>AI7*'Control Panel'!$B$40+Z7</f>
        <v/>
      </c>
      <c r="AP7" s="35">
        <f>AJ7*'Control Panel'!$B$40+AA7</f>
        <v/>
      </c>
      <c r="AQ7" s="35">
        <f>AH7*'Control Panel'!$B$41+Y7</f>
        <v/>
      </c>
      <c r="AR7" s="35">
        <f>AI7*'Control Panel'!$B$41+Z7</f>
        <v/>
      </c>
      <c r="AS7" s="35">
        <f>AJ7*'Control Panel'!$B$41+AA7</f>
        <v/>
      </c>
      <c r="AT7" s="36">
        <f>AH7*'Control Panel'!$B$42+Y7</f>
        <v/>
      </c>
      <c r="AU7" s="36">
        <f>AI7*'Control Panel'!$B$42+Z7</f>
        <v/>
      </c>
      <c r="AV7" s="36">
        <f>AJ7*'Control Panel'!$B$42+AA7</f>
        <v/>
      </c>
      <c r="AW7" s="37">
        <f>SUMIFS('Primary Sales History'!$C$4:$C$33,'Primary Sales History'!$A$4:$A$33,$A7,'Primary Sales History'!$B$4:$B$33,$B7)</f>
        <v/>
      </c>
      <c r="AX7" s="37">
        <f>SUMIFS('Primary Sales History'!$D$4:$D$33,'Primary Sales History'!$A$4:$A$33,$A7,'Primary Sales History'!$B$4:$B$33,$B7)</f>
        <v/>
      </c>
      <c r="AY7" s="37">
        <f>SUMIFS('Primary Sales History'!$E$4:$E$33,'Primary Sales History'!$A$4:$A$33,$A7,'Primary Sales History'!$B$4:$B$33,$B7)</f>
        <v/>
      </c>
      <c r="AZ7" s="37">
        <f>SUMIFS('Primary Sales History'!$F$4:$F$33,'Primary Sales History'!$A$4:$A$33,$A7,'Primary Sales History'!$B$4:$B$33,$B7)</f>
        <v/>
      </c>
      <c r="BA7" s="37">
        <f>SUMIFS('Primary Sales History'!$G$4:$G$33,'Primary Sales History'!$A$4:$A$33,$A7,'Primary Sales History'!$B$4:$B$33,$B7)</f>
        <v/>
      </c>
      <c r="BB7" s="37">
        <f>SUMIFS('Primary Sales History'!$H$4:$H$33,'Primary Sales History'!$A$4:$A$33,$A7,'Primary Sales History'!$B$4:$B$33,$B7)</f>
        <v/>
      </c>
      <c r="BC7" s="37">
        <f>SUMIFS('Primary Sales History'!$I$4:$I$33,'Primary Sales History'!$A$4:$A$33,$A7,'Primary Sales History'!$B$4:$B$33,$B7)</f>
        <v/>
      </c>
      <c r="BD7" s="37">
        <f>SUMIFS('Primary Sales History'!$J$4:$J$33,'Primary Sales History'!$A$4:$A$33,$A7,'Primary Sales History'!$B$4:$B$33,$B7)</f>
        <v/>
      </c>
      <c r="BE7" s="37">
        <f>SUMIFS('Primary Sales History'!$K$4:$K$33,'Primary Sales History'!$A$4:$A$33,$A7,'Primary Sales History'!$B$4:$B$33,$B7)</f>
        <v/>
      </c>
      <c r="BF7" s="37">
        <f>SUMIFS('Primary Sales History'!$L$4:$L$33,'Primary Sales History'!$A$4:$A$33,$A7,'Primary Sales History'!$B$4:$B$33,$B7)</f>
        <v/>
      </c>
      <c r="BG7" s="37">
        <f>SUMIFS('Primary Sales History'!$M$4:$M$33,'Primary Sales History'!$A$4:$A$33,$A7,'Primary Sales History'!$B$4:$B$33,$B7)</f>
        <v/>
      </c>
      <c r="BH7" s="37">
        <f>SUMIFS('Primary Sales History'!$N$4:$N$33,'Primary Sales History'!$A$4:$A$33,$A7,'Primary Sales History'!$B$4:$B$33,$B7)</f>
        <v/>
      </c>
      <c r="BI7" s="37">
        <f>SUMIFS('Primary Sales History'!$O$4:$O$33,'Primary Sales History'!$A$4:$A$33,$A7,'Primary Sales History'!$B$4:$B$33,$B7)</f>
        <v/>
      </c>
      <c r="BJ7" s="37">
        <f>SUMIFS('Primary Sales History'!$P$4:$P$33,'Primary Sales History'!$A$4:$A$33,$A7,'Primary Sales History'!$B$4:$B$33,$B7)</f>
        <v/>
      </c>
      <c r="BK7" s="37" t="n">
        <v>0</v>
      </c>
      <c r="BL7" s="37" t="n">
        <v>0</v>
      </c>
      <c r="BM7" s="37" t="n">
        <v>0</v>
      </c>
      <c r="BN7" s="37" t="n">
        <v>0</v>
      </c>
      <c r="BO7" s="37" t="n">
        <v>0</v>
      </c>
      <c r="BP7" s="37" t="n">
        <v>0</v>
      </c>
      <c r="BQ7" s="37" t="n">
        <v>0</v>
      </c>
      <c r="BR7" s="37" t="n">
        <v>0</v>
      </c>
      <c r="BS7" s="37" t="n">
        <v>0</v>
      </c>
      <c r="BT7" s="37" t="n">
        <v>0</v>
      </c>
    </row>
    <row r="8">
      <c r="A8" s="31" t="inlineStr">
        <is>
          <t>Mamaearth</t>
        </is>
      </c>
      <c r="B8" s="31" t="inlineStr">
        <is>
          <t>Baby</t>
        </is>
      </c>
      <c r="C8" s="32" t="inlineStr">
        <is>
          <t>Baby</t>
        </is>
      </c>
      <c r="D8" s="4">
        <f>IFERROR(INDEX($AW8:$BT8,1,'Control Panel'!$B$8-0),0)</f>
        <v/>
      </c>
      <c r="E8" s="4">
        <f>IFERROR(INDEX($AW8:$BT8,1,'Control Panel'!$B$8-1),0)</f>
        <v/>
      </c>
      <c r="F8" s="4">
        <f>IFERROR(INDEX($AW8:$BT8,1,'Control Panel'!$B$8-2),0)</f>
        <v/>
      </c>
      <c r="G8" s="4">
        <f>IFERROR(INDEX($AW8:$BT8,1,'Control Panel'!$B$8-5),0)</f>
        <v/>
      </c>
      <c r="H8" s="4">
        <f>IFERROR(INDEX($AW8:$BT8,1,'Control Panel'!$B$8-11),0)</f>
        <v/>
      </c>
      <c r="I8" s="4">
        <f>AVERAGE(D8,E8,F8)</f>
        <v/>
      </c>
      <c r="J8" s="4">
        <f>(D8+E8+F8+IFERROR(INDEX($AW8:$BT8,1,'Control Panel'!$B$8-3),0)+IFERROR(INDEX($AW8:$BT8,1,'Control Panel'!$B$8-4),0)+G8)/6</f>
        <v/>
      </c>
      <c r="K8" s="4">
        <f>(IFERROR(INDEX($AW8:$BT8,1,'Control Panel'!$B$8-0),0)+IFERROR(INDEX($AW8:$BT8,1,'Control Panel'!$B$8-1),0)+IFERROR(INDEX($AW8:$BT8,1,'Control Panel'!$B$8-2),0)+IFERROR(INDEX($AW8:$BT8,1,'Control Panel'!$B$8-3),0)+IFERROR(INDEX($AW8:$BT8,1,'Control Panel'!$B$8-4),0)+IFERROR(INDEX($AW8:$BT8,1,'Control Panel'!$B$8-5),0)+IFERROR(INDEX($AW8:$BT8,1,'Control Panel'!$B$8-6),0)+IFERROR(INDEX($AW8:$BT8,1,'Control Panel'!$B$8-7),0)+IFERROR(INDEX($AW8:$BT8,1,'Control Panel'!$B$8-8),0)+IFERROR(INDEX($AW8:$BT8,1,'Control Panel'!$B$8-9),0)+IFERROR(INDEX($AW8:$BT8,1,'Control Panel'!$B$8-10),0)+IFERROR(INDEX($AW8:$BT8,1,'Control Panel'!$B$8-11),0))/12</f>
        <v/>
      </c>
      <c r="L8" s="4">
        <f>IFERROR(MAX(-'Control Panel'!$B$36,MIN('Control Panel'!$B$36,(I8-J8)/J8)),0)</f>
        <v/>
      </c>
      <c r="M8" s="4">
        <f>(D8-G8)/5</f>
        <v/>
      </c>
      <c r="N8" s="4">
        <f>IFERROR(IF(H8&gt;0,(D8/H8)^(1/12)-1,0),0)</f>
        <v/>
      </c>
      <c r="O8" s="4">
        <f>IFERROR((IFERROR(INDEX('Seasonality Matrix'!$B$4:$M$11,MATCH($C8,'Seasonality Matrix'!$A$4:$A$11,0),MATCH('Control Panel'!$B$12,'Seasonality Matrix'!$B$3:$M$3,0)),1))/(IFERROR(AVERAGE(INDEX('Seasonality Matrix'!$B$4:$M$11,MATCH($C8,'Seasonality Matrix'!$A$4:$A$11,0),0)),1)),1)</f>
        <v/>
      </c>
      <c r="P8" s="4">
        <f>IFERROR((IFERROR(INDEX('Seasonality Matrix'!$B$4:$M$11,MATCH($C8,'Seasonality Matrix'!$A$4:$A$11,0),MATCH('Control Panel'!$B$13,'Seasonality Matrix'!$B$3:$M$3,0)),1))/(IFERROR(AVERAGE(INDEX('Seasonality Matrix'!$B$4:$M$11,MATCH($C8,'Seasonality Matrix'!$A$4:$A$11,0),0)),1)),1)</f>
        <v/>
      </c>
      <c r="Q8" s="4">
        <f>IFERROR((IFERROR(INDEX('Seasonality Matrix'!$B$4:$M$11,MATCH($C8,'Seasonality Matrix'!$A$4:$A$11,0),MATCH('Control Panel'!$B$14,'Seasonality Matrix'!$B$3:$M$3,0)),1))/(IFERROR(AVERAGE(INDEX('Seasonality Matrix'!$B$4:$M$11,MATCH($C8,'Seasonality Matrix'!$A$4:$A$11,0),0)),1)),1)</f>
        <v/>
      </c>
      <c r="R8" s="4">
        <f>IFERROR(INDEX($AW8:$BT8,1,'Control Panel'!$B$9-12),0)</f>
        <v/>
      </c>
      <c r="S8" s="4">
        <f>IFERROR(INDEX($AW8:$BT8,1,'Control Panel'!$B$10-12),0)</f>
        <v/>
      </c>
      <c r="T8" s="4">
        <f>IFERROR(INDEX($AW8:$BT8,1,'Control Panel'!$B$11-12),0)</f>
        <v/>
      </c>
      <c r="U8" s="33">
        <f>'Control Panel'!$B$45</f>
        <v/>
      </c>
      <c r="V8" s="16">
        <f>IFERROR(SUMIFS('Promotion Calendar'!$G$4:$G$12,'Promotion Calendar'!$A$4:$A$12,$A8,'Promotion Calendar'!$B$4:$B$12,$B8,'Promotion Calendar'!$C$4:$C$12,'Control Panel'!$B$4),0)</f>
        <v/>
      </c>
      <c r="W8" s="16">
        <f>IFERROR(SUMIFS('Promotion Calendar'!$G$4:$G$12,'Promotion Calendar'!$A$4:$A$12,$A8,'Promotion Calendar'!$B$4:$B$12,$B8,'Promotion Calendar'!$C$4:$C$12,'Control Panel'!$B$6),0)</f>
        <v/>
      </c>
      <c r="X8" s="16">
        <f>IFERROR(SUMIFS('Promotion Calendar'!$G$4:$G$12,'Promotion Calendar'!$A$4:$A$12,$A8,'Promotion Calendar'!$B$4:$B$12,$B8,'Promotion Calendar'!$C$4:$C$12,'Control Panel'!$B$7),0)</f>
        <v/>
      </c>
      <c r="Y8" s="14">
        <f>IFERROR(SUMIFS('NPI &amp; EPD Planning'!$I$4:$I$10,'NPI &amp; EPD Planning'!$A$4:$A$10,$A8,'NPI &amp; EPD Planning'!$B$4:$B$10,$B8,'NPI &amp; EPD Planning'!$D$4:$D$10,'Control Panel'!$B$4),0)</f>
        <v/>
      </c>
      <c r="Z8" s="14">
        <f>IFERROR(SUMIFS('NPI &amp; EPD Planning'!$I$4:$I$10,'NPI &amp; EPD Planning'!$A$4:$A$10,$A8,'NPI &amp; EPD Planning'!$B$4:$B$10,$B8,'NPI &amp; EPD Planning'!$D$4:$D$10,'Control Panel'!$B$6),0)</f>
        <v/>
      </c>
      <c r="AA8" s="14">
        <f>IFERROR(SUMIFS('NPI &amp; EPD Planning'!$I$4:$I$10,'NPI &amp; EPD Planning'!$A$4:$A$10,$A8,'NPI &amp; EPD Planning'!$B$4:$B$10,$B8,'NPI &amp; EPD Planning'!$D$4:$D$10,'Control Panel'!$B$7),0)</f>
        <v/>
      </c>
      <c r="AB8" s="34">
        <f>IFERROR(('Control Panel'!$B$17*(('Control Panel'!$B$28*D8+'Control Panel'!$B$29*E8+'Control Panel'!$B$30*F8)*O8)+'Control Panel'!$B$18*((('Control Panel'!$B$27*(1-'Control Panel'!$B$27)^0*IFERROR(INDEX($AW8:$BT8,1,'Control Panel'!$B$8-0),0)+'Control Panel'!$B$27*(1-'Control Panel'!$B$27)^1*IFERROR(INDEX($AW8:$BT8,1,'Control Panel'!$B$8-1),0)+'Control Panel'!$B$27*(1-'Control Panel'!$B$27)^2*IFERROR(INDEX($AW8:$BT8,1,'Control Panel'!$B$8-2),0)+'Control Panel'!$B$27*(1-'Control Panel'!$B$27)^3*IFERROR(INDEX($AW8:$BT8,1,'Control Panel'!$B$8-3),0)+'Control Panel'!$B$27*(1-'Control Panel'!$B$27)^4*IFERROR(INDEX($AW8:$BT8,1,'Control Panel'!$B$8-4),0)+'Control Panel'!$B$27*(1-'Control Panel'!$B$27)^5*IFERROR(INDEX($AW8:$BT8,1,'Control Panel'!$B$8-5),0))/(1-(1-'Control Panel'!$B$27)^6))*O8)+'Control Panel'!$B$19*((D8+M8*1)*O8)+'Control Panel'!$B$20*(K8*O8)+'Control Panel'!$B$21*(D8*(1+N8)^1*O8)+'Control Panel'!$B$22*(I8*O8)+'Control Panel'!$B$23*(R8*(1+IFERROR(D8/H8-1,0))))/'Control Panel'!$B$24,0)</f>
        <v/>
      </c>
      <c r="AC8" s="34">
        <f>IFERROR(('Control Panel'!$B$17*(('Control Panel'!$B$28*D8+'Control Panel'!$B$29*E8+'Control Panel'!$B$30*F8)*P8)+'Control Panel'!$B$18*((('Control Panel'!$B$27*(1-'Control Panel'!$B$27)^0*IFERROR(INDEX($AW8:$BT8,1,'Control Panel'!$B$8-0),0)+'Control Panel'!$B$27*(1-'Control Panel'!$B$27)^1*IFERROR(INDEX($AW8:$BT8,1,'Control Panel'!$B$8-1),0)+'Control Panel'!$B$27*(1-'Control Panel'!$B$27)^2*IFERROR(INDEX($AW8:$BT8,1,'Control Panel'!$B$8-2),0)+'Control Panel'!$B$27*(1-'Control Panel'!$B$27)^3*IFERROR(INDEX($AW8:$BT8,1,'Control Panel'!$B$8-3),0)+'Control Panel'!$B$27*(1-'Control Panel'!$B$27)^4*IFERROR(INDEX($AW8:$BT8,1,'Control Panel'!$B$8-4),0)+'Control Panel'!$B$27*(1-'Control Panel'!$B$27)^5*IFERROR(INDEX($AW8:$BT8,1,'Control Panel'!$B$8-5),0))/(1-(1-'Control Panel'!$B$27)^6))*P8)+'Control Panel'!$B$19*((D8+M8*2)*P8)+'Control Panel'!$B$20*(K8*P8)+'Control Panel'!$B$21*(D8*(1+N8)^2*P8)+'Control Panel'!$B$22*(I8*P8)+'Control Panel'!$B$23*(S8*(1+IFERROR(D8/H8-1,0))))/'Control Panel'!$B$24,0)</f>
        <v/>
      </c>
      <c r="AD8" s="34">
        <f>IFERROR(('Control Panel'!$B$17*(('Control Panel'!$B$28*D8+'Control Panel'!$B$29*E8+'Control Panel'!$B$30*F8)*Q8)+'Control Panel'!$B$18*((('Control Panel'!$B$27*(1-'Control Panel'!$B$27)^0*IFERROR(INDEX($AW8:$BT8,1,'Control Panel'!$B$8-0),0)+'Control Panel'!$B$27*(1-'Control Panel'!$B$27)^1*IFERROR(INDEX($AW8:$BT8,1,'Control Panel'!$B$8-1),0)+'Control Panel'!$B$27*(1-'Control Panel'!$B$27)^2*IFERROR(INDEX($AW8:$BT8,1,'Control Panel'!$B$8-2),0)+'Control Panel'!$B$27*(1-'Control Panel'!$B$27)^3*IFERROR(INDEX($AW8:$BT8,1,'Control Panel'!$B$8-3),0)+'Control Panel'!$B$27*(1-'Control Panel'!$B$27)^4*IFERROR(INDEX($AW8:$BT8,1,'Control Panel'!$B$8-4),0)+'Control Panel'!$B$27*(1-'Control Panel'!$B$27)^5*IFERROR(INDEX($AW8:$BT8,1,'Control Panel'!$B$8-5),0))/(1-(1-'Control Panel'!$B$27)^6))*Q8)+'Control Panel'!$B$19*((D8+M8*3)*Q8)+'Control Panel'!$B$20*(K8*Q8)+'Control Panel'!$B$21*(D8*(1+N8)^3*Q8)+'Control Panel'!$B$22*(I8*Q8)+'Control Panel'!$B$23*(T8*(1+IFERROR(D8/H8-1,0))))/'Control Panel'!$B$24,0)</f>
        <v/>
      </c>
      <c r="AE8" s="34">
        <f>MAX(0,AB8*(1+U8+V8))</f>
        <v/>
      </c>
      <c r="AF8" s="34">
        <f>MAX(0,AC8*(1+U8+W8))</f>
        <v/>
      </c>
      <c r="AG8" s="34">
        <f>MAX(0,AD8*(1+U8+X8))</f>
        <v/>
      </c>
      <c r="AH8" s="35">
        <f>IFERROR(('Control Panel'!$B$33*AB8+'Control Panel'!$B$34*AE8+'Control Panel'!$B$35*(AB8*(1+L8+V8)))/('Control Panel'!$B$33+'Control Panel'!$B$34+'Control Panel'!$B$35),0)</f>
        <v/>
      </c>
      <c r="AI8" s="35">
        <f>IFERROR(('Control Panel'!$B$33*AC8+'Control Panel'!$B$34*AF8+'Control Panel'!$B$35*(AC8*(1+L8+W8)))/('Control Panel'!$B$33+'Control Panel'!$B$34+'Control Panel'!$B$35),0)</f>
        <v/>
      </c>
      <c r="AJ8" s="35">
        <f>IFERROR(('Control Panel'!$B$33*AD8+'Control Panel'!$B$34*AG8+'Control Panel'!$B$35*(AD8*(1+L8+X8)))/('Control Panel'!$B$33+'Control Panel'!$B$34+'Control Panel'!$B$35),0)</f>
        <v/>
      </c>
      <c r="AK8" s="35">
        <f>AH8*'Control Panel'!$B$39+Y8</f>
        <v/>
      </c>
      <c r="AL8" s="35">
        <f>AI8*'Control Panel'!$B$39+Z8</f>
        <v/>
      </c>
      <c r="AM8" s="35">
        <f>AJ8*'Control Panel'!$B$39+AA8</f>
        <v/>
      </c>
      <c r="AN8" s="35">
        <f>AH8*'Control Panel'!$B$40+Y8</f>
        <v/>
      </c>
      <c r="AO8" s="35">
        <f>AI8*'Control Panel'!$B$40+Z8</f>
        <v/>
      </c>
      <c r="AP8" s="35">
        <f>AJ8*'Control Panel'!$B$40+AA8</f>
        <v/>
      </c>
      <c r="AQ8" s="35">
        <f>AH8*'Control Panel'!$B$41+Y8</f>
        <v/>
      </c>
      <c r="AR8" s="35">
        <f>AI8*'Control Panel'!$B$41+Z8</f>
        <v/>
      </c>
      <c r="AS8" s="35">
        <f>AJ8*'Control Panel'!$B$41+AA8</f>
        <v/>
      </c>
      <c r="AT8" s="36">
        <f>AH8*'Control Panel'!$B$42+Y8</f>
        <v/>
      </c>
      <c r="AU8" s="36">
        <f>AI8*'Control Panel'!$B$42+Z8</f>
        <v/>
      </c>
      <c r="AV8" s="36">
        <f>AJ8*'Control Panel'!$B$42+AA8</f>
        <v/>
      </c>
      <c r="AW8" s="37">
        <f>SUMIFS('Primary Sales History'!$C$4:$C$33,'Primary Sales History'!$A$4:$A$33,$A8,'Primary Sales History'!$B$4:$B$33,$B8)</f>
        <v/>
      </c>
      <c r="AX8" s="37">
        <f>SUMIFS('Primary Sales History'!$D$4:$D$33,'Primary Sales History'!$A$4:$A$33,$A8,'Primary Sales History'!$B$4:$B$33,$B8)</f>
        <v/>
      </c>
      <c r="AY8" s="37">
        <f>SUMIFS('Primary Sales History'!$E$4:$E$33,'Primary Sales History'!$A$4:$A$33,$A8,'Primary Sales History'!$B$4:$B$33,$B8)</f>
        <v/>
      </c>
      <c r="AZ8" s="37">
        <f>SUMIFS('Primary Sales History'!$F$4:$F$33,'Primary Sales History'!$A$4:$A$33,$A8,'Primary Sales History'!$B$4:$B$33,$B8)</f>
        <v/>
      </c>
      <c r="BA8" s="37">
        <f>SUMIFS('Primary Sales History'!$G$4:$G$33,'Primary Sales History'!$A$4:$A$33,$A8,'Primary Sales History'!$B$4:$B$33,$B8)</f>
        <v/>
      </c>
      <c r="BB8" s="37">
        <f>SUMIFS('Primary Sales History'!$H$4:$H$33,'Primary Sales History'!$A$4:$A$33,$A8,'Primary Sales History'!$B$4:$B$33,$B8)</f>
        <v/>
      </c>
      <c r="BC8" s="37">
        <f>SUMIFS('Primary Sales History'!$I$4:$I$33,'Primary Sales History'!$A$4:$A$33,$A8,'Primary Sales History'!$B$4:$B$33,$B8)</f>
        <v/>
      </c>
      <c r="BD8" s="37">
        <f>SUMIFS('Primary Sales History'!$J$4:$J$33,'Primary Sales History'!$A$4:$A$33,$A8,'Primary Sales History'!$B$4:$B$33,$B8)</f>
        <v/>
      </c>
      <c r="BE8" s="37">
        <f>SUMIFS('Primary Sales History'!$K$4:$K$33,'Primary Sales History'!$A$4:$A$33,$A8,'Primary Sales History'!$B$4:$B$33,$B8)</f>
        <v/>
      </c>
      <c r="BF8" s="37">
        <f>SUMIFS('Primary Sales History'!$L$4:$L$33,'Primary Sales History'!$A$4:$A$33,$A8,'Primary Sales History'!$B$4:$B$33,$B8)</f>
        <v/>
      </c>
      <c r="BG8" s="37">
        <f>SUMIFS('Primary Sales History'!$M$4:$M$33,'Primary Sales History'!$A$4:$A$33,$A8,'Primary Sales History'!$B$4:$B$33,$B8)</f>
        <v/>
      </c>
      <c r="BH8" s="37">
        <f>SUMIFS('Primary Sales History'!$N$4:$N$33,'Primary Sales History'!$A$4:$A$33,$A8,'Primary Sales History'!$B$4:$B$33,$B8)</f>
        <v/>
      </c>
      <c r="BI8" s="37">
        <f>SUMIFS('Primary Sales History'!$O$4:$O$33,'Primary Sales History'!$A$4:$A$33,$A8,'Primary Sales History'!$B$4:$B$33,$B8)</f>
        <v/>
      </c>
      <c r="BJ8" s="37">
        <f>SUMIFS('Primary Sales History'!$P$4:$P$33,'Primary Sales History'!$A$4:$A$33,$A8,'Primary Sales History'!$B$4:$B$33,$B8)</f>
        <v/>
      </c>
      <c r="BK8" s="37" t="n">
        <v>0</v>
      </c>
      <c r="BL8" s="37" t="n">
        <v>0</v>
      </c>
      <c r="BM8" s="37" t="n">
        <v>0</v>
      </c>
      <c r="BN8" s="37" t="n">
        <v>0</v>
      </c>
      <c r="BO8" s="37" t="n">
        <v>0</v>
      </c>
      <c r="BP8" s="37" t="n">
        <v>0</v>
      </c>
      <c r="BQ8" s="37" t="n">
        <v>0</v>
      </c>
      <c r="BR8" s="37" t="n">
        <v>0</v>
      </c>
      <c r="BS8" s="37" t="n">
        <v>0</v>
      </c>
      <c r="BT8" s="37" t="n">
        <v>0</v>
      </c>
    </row>
    <row r="9">
      <c r="A9" s="31" t="inlineStr">
        <is>
          <t>Aqualogica</t>
        </is>
      </c>
      <c r="B9" s="31" t="inlineStr">
        <is>
          <t>Face</t>
        </is>
      </c>
      <c r="C9" s="32" t="inlineStr">
        <is>
          <t>Face</t>
        </is>
      </c>
      <c r="D9" s="4">
        <f>IFERROR(INDEX($AW9:$BT9,1,'Control Panel'!$B$8-0),0)</f>
        <v/>
      </c>
      <c r="E9" s="4">
        <f>IFERROR(INDEX($AW9:$BT9,1,'Control Panel'!$B$8-1),0)</f>
        <v/>
      </c>
      <c r="F9" s="4">
        <f>IFERROR(INDEX($AW9:$BT9,1,'Control Panel'!$B$8-2),0)</f>
        <v/>
      </c>
      <c r="G9" s="4">
        <f>IFERROR(INDEX($AW9:$BT9,1,'Control Panel'!$B$8-5),0)</f>
        <v/>
      </c>
      <c r="H9" s="4">
        <f>IFERROR(INDEX($AW9:$BT9,1,'Control Panel'!$B$8-11),0)</f>
        <v/>
      </c>
      <c r="I9" s="4">
        <f>AVERAGE(D9,E9,F9)</f>
        <v/>
      </c>
      <c r="J9" s="4">
        <f>(D9+E9+F9+IFERROR(INDEX($AW9:$BT9,1,'Control Panel'!$B$8-3),0)+IFERROR(INDEX($AW9:$BT9,1,'Control Panel'!$B$8-4),0)+G9)/6</f>
        <v/>
      </c>
      <c r="K9" s="4">
        <f>(IFERROR(INDEX($AW9:$BT9,1,'Control Panel'!$B$8-0),0)+IFERROR(INDEX($AW9:$BT9,1,'Control Panel'!$B$8-1),0)+IFERROR(INDEX($AW9:$BT9,1,'Control Panel'!$B$8-2),0)+IFERROR(INDEX($AW9:$BT9,1,'Control Panel'!$B$8-3),0)+IFERROR(INDEX($AW9:$BT9,1,'Control Panel'!$B$8-4),0)+IFERROR(INDEX($AW9:$BT9,1,'Control Panel'!$B$8-5),0)+IFERROR(INDEX($AW9:$BT9,1,'Control Panel'!$B$8-6),0)+IFERROR(INDEX($AW9:$BT9,1,'Control Panel'!$B$8-7),0)+IFERROR(INDEX($AW9:$BT9,1,'Control Panel'!$B$8-8),0)+IFERROR(INDEX($AW9:$BT9,1,'Control Panel'!$B$8-9),0)+IFERROR(INDEX($AW9:$BT9,1,'Control Panel'!$B$8-10),0)+IFERROR(INDEX($AW9:$BT9,1,'Control Panel'!$B$8-11),0))/12</f>
        <v/>
      </c>
      <c r="L9" s="4">
        <f>IFERROR(MAX(-'Control Panel'!$B$36,MIN('Control Panel'!$B$36,(I9-J9)/J9)),0)</f>
        <v/>
      </c>
      <c r="M9" s="4">
        <f>(D9-G9)/5</f>
        <v/>
      </c>
      <c r="N9" s="4">
        <f>IFERROR(IF(H9&gt;0,(D9/H9)^(1/12)-1,0),0)</f>
        <v/>
      </c>
      <c r="O9" s="4">
        <f>IFERROR((IFERROR(INDEX('Seasonality Matrix'!$B$4:$M$11,MATCH($C9,'Seasonality Matrix'!$A$4:$A$11,0),MATCH('Control Panel'!$B$12,'Seasonality Matrix'!$B$3:$M$3,0)),1))/(IFERROR(AVERAGE(INDEX('Seasonality Matrix'!$B$4:$M$11,MATCH($C9,'Seasonality Matrix'!$A$4:$A$11,0),0)),1)),1)</f>
        <v/>
      </c>
      <c r="P9" s="4">
        <f>IFERROR((IFERROR(INDEX('Seasonality Matrix'!$B$4:$M$11,MATCH($C9,'Seasonality Matrix'!$A$4:$A$11,0),MATCH('Control Panel'!$B$13,'Seasonality Matrix'!$B$3:$M$3,0)),1))/(IFERROR(AVERAGE(INDEX('Seasonality Matrix'!$B$4:$M$11,MATCH($C9,'Seasonality Matrix'!$A$4:$A$11,0),0)),1)),1)</f>
        <v/>
      </c>
      <c r="Q9" s="4">
        <f>IFERROR((IFERROR(INDEX('Seasonality Matrix'!$B$4:$M$11,MATCH($C9,'Seasonality Matrix'!$A$4:$A$11,0),MATCH('Control Panel'!$B$14,'Seasonality Matrix'!$B$3:$M$3,0)),1))/(IFERROR(AVERAGE(INDEX('Seasonality Matrix'!$B$4:$M$11,MATCH($C9,'Seasonality Matrix'!$A$4:$A$11,0),0)),1)),1)</f>
        <v/>
      </c>
      <c r="R9" s="4">
        <f>IFERROR(INDEX($AW9:$BT9,1,'Control Panel'!$B$9-12),0)</f>
        <v/>
      </c>
      <c r="S9" s="4">
        <f>IFERROR(INDEX($AW9:$BT9,1,'Control Panel'!$B$10-12),0)</f>
        <v/>
      </c>
      <c r="T9" s="4">
        <f>IFERROR(INDEX($AW9:$BT9,1,'Control Panel'!$B$11-12),0)</f>
        <v/>
      </c>
      <c r="U9" s="33">
        <f>'Control Panel'!$B$45</f>
        <v/>
      </c>
      <c r="V9" s="16">
        <f>IFERROR(SUMIFS('Promotion Calendar'!$G$4:$G$12,'Promotion Calendar'!$A$4:$A$12,$A9,'Promotion Calendar'!$B$4:$B$12,$B9,'Promotion Calendar'!$C$4:$C$12,'Control Panel'!$B$4),0)</f>
        <v/>
      </c>
      <c r="W9" s="16">
        <f>IFERROR(SUMIFS('Promotion Calendar'!$G$4:$G$12,'Promotion Calendar'!$A$4:$A$12,$A9,'Promotion Calendar'!$B$4:$B$12,$B9,'Promotion Calendar'!$C$4:$C$12,'Control Panel'!$B$6),0)</f>
        <v/>
      </c>
      <c r="X9" s="16">
        <f>IFERROR(SUMIFS('Promotion Calendar'!$G$4:$G$12,'Promotion Calendar'!$A$4:$A$12,$A9,'Promotion Calendar'!$B$4:$B$12,$B9,'Promotion Calendar'!$C$4:$C$12,'Control Panel'!$B$7),0)</f>
        <v/>
      </c>
      <c r="Y9" s="14">
        <f>IFERROR(SUMIFS('NPI &amp; EPD Planning'!$I$4:$I$10,'NPI &amp; EPD Planning'!$A$4:$A$10,$A9,'NPI &amp; EPD Planning'!$B$4:$B$10,$B9,'NPI &amp; EPD Planning'!$D$4:$D$10,'Control Panel'!$B$4),0)</f>
        <v/>
      </c>
      <c r="Z9" s="14">
        <f>IFERROR(SUMIFS('NPI &amp; EPD Planning'!$I$4:$I$10,'NPI &amp; EPD Planning'!$A$4:$A$10,$A9,'NPI &amp; EPD Planning'!$B$4:$B$10,$B9,'NPI &amp; EPD Planning'!$D$4:$D$10,'Control Panel'!$B$6),0)</f>
        <v/>
      </c>
      <c r="AA9" s="14">
        <f>IFERROR(SUMIFS('NPI &amp; EPD Planning'!$I$4:$I$10,'NPI &amp; EPD Planning'!$A$4:$A$10,$A9,'NPI &amp; EPD Planning'!$B$4:$B$10,$B9,'NPI &amp; EPD Planning'!$D$4:$D$10,'Control Panel'!$B$7),0)</f>
        <v/>
      </c>
      <c r="AB9" s="34">
        <f>IFERROR(('Control Panel'!$B$17*(('Control Panel'!$B$28*D9+'Control Panel'!$B$29*E9+'Control Panel'!$B$30*F9)*O9)+'Control Panel'!$B$18*((('Control Panel'!$B$27*(1-'Control Panel'!$B$27)^0*IFERROR(INDEX($AW9:$BT9,1,'Control Panel'!$B$8-0),0)+'Control Panel'!$B$27*(1-'Control Panel'!$B$27)^1*IFERROR(INDEX($AW9:$BT9,1,'Control Panel'!$B$8-1),0)+'Control Panel'!$B$27*(1-'Control Panel'!$B$27)^2*IFERROR(INDEX($AW9:$BT9,1,'Control Panel'!$B$8-2),0)+'Control Panel'!$B$27*(1-'Control Panel'!$B$27)^3*IFERROR(INDEX($AW9:$BT9,1,'Control Panel'!$B$8-3),0)+'Control Panel'!$B$27*(1-'Control Panel'!$B$27)^4*IFERROR(INDEX($AW9:$BT9,1,'Control Panel'!$B$8-4),0)+'Control Panel'!$B$27*(1-'Control Panel'!$B$27)^5*IFERROR(INDEX($AW9:$BT9,1,'Control Panel'!$B$8-5),0))/(1-(1-'Control Panel'!$B$27)^6))*O9)+'Control Panel'!$B$19*((D9+M9*1)*O9)+'Control Panel'!$B$20*(K9*O9)+'Control Panel'!$B$21*(D9*(1+N9)^1*O9)+'Control Panel'!$B$22*(I9*O9)+'Control Panel'!$B$23*(R9*(1+IFERROR(D9/H9-1,0))))/'Control Panel'!$B$24,0)</f>
        <v/>
      </c>
      <c r="AC9" s="34">
        <f>IFERROR(('Control Panel'!$B$17*(('Control Panel'!$B$28*D9+'Control Panel'!$B$29*E9+'Control Panel'!$B$30*F9)*P9)+'Control Panel'!$B$18*((('Control Panel'!$B$27*(1-'Control Panel'!$B$27)^0*IFERROR(INDEX($AW9:$BT9,1,'Control Panel'!$B$8-0),0)+'Control Panel'!$B$27*(1-'Control Panel'!$B$27)^1*IFERROR(INDEX($AW9:$BT9,1,'Control Panel'!$B$8-1),0)+'Control Panel'!$B$27*(1-'Control Panel'!$B$27)^2*IFERROR(INDEX($AW9:$BT9,1,'Control Panel'!$B$8-2),0)+'Control Panel'!$B$27*(1-'Control Panel'!$B$27)^3*IFERROR(INDEX($AW9:$BT9,1,'Control Panel'!$B$8-3),0)+'Control Panel'!$B$27*(1-'Control Panel'!$B$27)^4*IFERROR(INDEX($AW9:$BT9,1,'Control Panel'!$B$8-4),0)+'Control Panel'!$B$27*(1-'Control Panel'!$B$27)^5*IFERROR(INDEX($AW9:$BT9,1,'Control Panel'!$B$8-5),0))/(1-(1-'Control Panel'!$B$27)^6))*P9)+'Control Panel'!$B$19*((D9+M9*2)*P9)+'Control Panel'!$B$20*(K9*P9)+'Control Panel'!$B$21*(D9*(1+N9)^2*P9)+'Control Panel'!$B$22*(I9*P9)+'Control Panel'!$B$23*(S9*(1+IFERROR(D9/H9-1,0))))/'Control Panel'!$B$24,0)</f>
        <v/>
      </c>
      <c r="AD9" s="34">
        <f>IFERROR(('Control Panel'!$B$17*(('Control Panel'!$B$28*D9+'Control Panel'!$B$29*E9+'Control Panel'!$B$30*F9)*Q9)+'Control Panel'!$B$18*((('Control Panel'!$B$27*(1-'Control Panel'!$B$27)^0*IFERROR(INDEX($AW9:$BT9,1,'Control Panel'!$B$8-0),0)+'Control Panel'!$B$27*(1-'Control Panel'!$B$27)^1*IFERROR(INDEX($AW9:$BT9,1,'Control Panel'!$B$8-1),0)+'Control Panel'!$B$27*(1-'Control Panel'!$B$27)^2*IFERROR(INDEX($AW9:$BT9,1,'Control Panel'!$B$8-2),0)+'Control Panel'!$B$27*(1-'Control Panel'!$B$27)^3*IFERROR(INDEX($AW9:$BT9,1,'Control Panel'!$B$8-3),0)+'Control Panel'!$B$27*(1-'Control Panel'!$B$27)^4*IFERROR(INDEX($AW9:$BT9,1,'Control Panel'!$B$8-4),0)+'Control Panel'!$B$27*(1-'Control Panel'!$B$27)^5*IFERROR(INDEX($AW9:$BT9,1,'Control Panel'!$B$8-5),0))/(1-(1-'Control Panel'!$B$27)^6))*Q9)+'Control Panel'!$B$19*((D9+M9*3)*Q9)+'Control Panel'!$B$20*(K9*Q9)+'Control Panel'!$B$21*(D9*(1+N9)^3*Q9)+'Control Panel'!$B$22*(I9*Q9)+'Control Panel'!$B$23*(T9*(1+IFERROR(D9/H9-1,0))))/'Control Panel'!$B$24,0)</f>
        <v/>
      </c>
      <c r="AE9" s="34">
        <f>MAX(0,AB9*(1+U9+V9))</f>
        <v/>
      </c>
      <c r="AF9" s="34">
        <f>MAX(0,AC9*(1+U9+W9))</f>
        <v/>
      </c>
      <c r="AG9" s="34">
        <f>MAX(0,AD9*(1+U9+X9))</f>
        <v/>
      </c>
      <c r="AH9" s="35">
        <f>IFERROR(('Control Panel'!$B$33*AB9+'Control Panel'!$B$34*AE9+'Control Panel'!$B$35*(AB9*(1+L9+V9)))/('Control Panel'!$B$33+'Control Panel'!$B$34+'Control Panel'!$B$35),0)</f>
        <v/>
      </c>
      <c r="AI9" s="35">
        <f>IFERROR(('Control Panel'!$B$33*AC9+'Control Panel'!$B$34*AF9+'Control Panel'!$B$35*(AC9*(1+L9+W9)))/('Control Panel'!$B$33+'Control Panel'!$B$34+'Control Panel'!$B$35),0)</f>
        <v/>
      </c>
      <c r="AJ9" s="35">
        <f>IFERROR(('Control Panel'!$B$33*AD9+'Control Panel'!$B$34*AG9+'Control Panel'!$B$35*(AD9*(1+L9+X9)))/('Control Panel'!$B$33+'Control Panel'!$B$34+'Control Panel'!$B$35),0)</f>
        <v/>
      </c>
      <c r="AK9" s="35">
        <f>AH9*'Control Panel'!$B$39+Y9</f>
        <v/>
      </c>
      <c r="AL9" s="35">
        <f>AI9*'Control Panel'!$B$39+Z9</f>
        <v/>
      </c>
      <c r="AM9" s="35">
        <f>AJ9*'Control Panel'!$B$39+AA9</f>
        <v/>
      </c>
      <c r="AN9" s="35">
        <f>AH9*'Control Panel'!$B$40+Y9</f>
        <v/>
      </c>
      <c r="AO9" s="35">
        <f>AI9*'Control Panel'!$B$40+Z9</f>
        <v/>
      </c>
      <c r="AP9" s="35">
        <f>AJ9*'Control Panel'!$B$40+AA9</f>
        <v/>
      </c>
      <c r="AQ9" s="35">
        <f>AH9*'Control Panel'!$B$41+Y9</f>
        <v/>
      </c>
      <c r="AR9" s="35">
        <f>AI9*'Control Panel'!$B$41+Z9</f>
        <v/>
      </c>
      <c r="AS9" s="35">
        <f>AJ9*'Control Panel'!$B$41+AA9</f>
        <v/>
      </c>
      <c r="AT9" s="36">
        <f>AH9*'Control Panel'!$B$42+Y9</f>
        <v/>
      </c>
      <c r="AU9" s="36">
        <f>AI9*'Control Panel'!$B$42+Z9</f>
        <v/>
      </c>
      <c r="AV9" s="36">
        <f>AJ9*'Control Panel'!$B$42+AA9</f>
        <v/>
      </c>
      <c r="AW9" s="37">
        <f>SUMIFS('Primary Sales History'!$C$4:$C$33,'Primary Sales History'!$A$4:$A$33,$A9,'Primary Sales History'!$B$4:$B$33,$B9)</f>
        <v/>
      </c>
      <c r="AX9" s="37">
        <f>SUMIFS('Primary Sales History'!$D$4:$D$33,'Primary Sales History'!$A$4:$A$33,$A9,'Primary Sales History'!$B$4:$B$33,$B9)</f>
        <v/>
      </c>
      <c r="AY9" s="37">
        <f>SUMIFS('Primary Sales History'!$E$4:$E$33,'Primary Sales History'!$A$4:$A$33,$A9,'Primary Sales History'!$B$4:$B$33,$B9)</f>
        <v/>
      </c>
      <c r="AZ9" s="37">
        <f>SUMIFS('Primary Sales History'!$F$4:$F$33,'Primary Sales History'!$A$4:$A$33,$A9,'Primary Sales History'!$B$4:$B$33,$B9)</f>
        <v/>
      </c>
      <c r="BA9" s="37">
        <f>SUMIFS('Primary Sales History'!$G$4:$G$33,'Primary Sales History'!$A$4:$A$33,$A9,'Primary Sales History'!$B$4:$B$33,$B9)</f>
        <v/>
      </c>
      <c r="BB9" s="37">
        <f>SUMIFS('Primary Sales History'!$H$4:$H$33,'Primary Sales History'!$A$4:$A$33,$A9,'Primary Sales History'!$B$4:$B$33,$B9)</f>
        <v/>
      </c>
      <c r="BC9" s="37">
        <f>SUMIFS('Primary Sales History'!$I$4:$I$33,'Primary Sales History'!$A$4:$A$33,$A9,'Primary Sales History'!$B$4:$B$33,$B9)</f>
        <v/>
      </c>
      <c r="BD9" s="37">
        <f>SUMIFS('Primary Sales History'!$J$4:$J$33,'Primary Sales History'!$A$4:$A$33,$A9,'Primary Sales History'!$B$4:$B$33,$B9)</f>
        <v/>
      </c>
      <c r="BE9" s="37">
        <f>SUMIFS('Primary Sales History'!$K$4:$K$33,'Primary Sales History'!$A$4:$A$33,$A9,'Primary Sales History'!$B$4:$B$33,$B9)</f>
        <v/>
      </c>
      <c r="BF9" s="37">
        <f>SUMIFS('Primary Sales History'!$L$4:$L$33,'Primary Sales History'!$A$4:$A$33,$A9,'Primary Sales History'!$B$4:$B$33,$B9)</f>
        <v/>
      </c>
      <c r="BG9" s="37">
        <f>SUMIFS('Primary Sales History'!$M$4:$M$33,'Primary Sales History'!$A$4:$A$33,$A9,'Primary Sales History'!$B$4:$B$33,$B9)</f>
        <v/>
      </c>
      <c r="BH9" s="37">
        <f>SUMIFS('Primary Sales History'!$N$4:$N$33,'Primary Sales History'!$A$4:$A$33,$A9,'Primary Sales History'!$B$4:$B$33,$B9)</f>
        <v/>
      </c>
      <c r="BI9" s="37">
        <f>SUMIFS('Primary Sales History'!$O$4:$O$33,'Primary Sales History'!$A$4:$A$33,$A9,'Primary Sales History'!$B$4:$B$33,$B9)</f>
        <v/>
      </c>
      <c r="BJ9" s="37">
        <f>SUMIFS('Primary Sales History'!$P$4:$P$33,'Primary Sales History'!$A$4:$A$33,$A9,'Primary Sales History'!$B$4:$B$33,$B9)</f>
        <v/>
      </c>
      <c r="BK9" s="37" t="n">
        <v>0</v>
      </c>
      <c r="BL9" s="37" t="n">
        <v>0</v>
      </c>
      <c r="BM9" s="37" t="n">
        <v>0</v>
      </c>
      <c r="BN9" s="37" t="n">
        <v>0</v>
      </c>
      <c r="BO9" s="37" t="n">
        <v>0</v>
      </c>
      <c r="BP9" s="37" t="n">
        <v>0</v>
      </c>
      <c r="BQ9" s="37" t="n">
        <v>0</v>
      </c>
      <c r="BR9" s="37" t="n">
        <v>0</v>
      </c>
      <c r="BS9" s="37" t="n">
        <v>0</v>
      </c>
      <c r="BT9" s="37" t="n">
        <v>0</v>
      </c>
    </row>
    <row r="10">
      <c r="A10" s="31" t="inlineStr">
        <is>
          <t>BBLUNT</t>
        </is>
      </c>
      <c r="B10" s="31" t="inlineStr">
        <is>
          <t>Hair Care</t>
        </is>
      </c>
      <c r="C10" s="32" t="inlineStr">
        <is>
          <t>Hair Care</t>
        </is>
      </c>
      <c r="D10" s="4">
        <f>IFERROR(INDEX($AW10:$BT10,1,'Control Panel'!$B$8-0),0)</f>
        <v/>
      </c>
      <c r="E10" s="4">
        <f>IFERROR(INDEX($AW10:$BT10,1,'Control Panel'!$B$8-1),0)</f>
        <v/>
      </c>
      <c r="F10" s="4">
        <f>IFERROR(INDEX($AW10:$BT10,1,'Control Panel'!$B$8-2),0)</f>
        <v/>
      </c>
      <c r="G10" s="4">
        <f>IFERROR(INDEX($AW10:$BT10,1,'Control Panel'!$B$8-5),0)</f>
        <v/>
      </c>
      <c r="H10" s="4">
        <f>IFERROR(INDEX($AW10:$BT10,1,'Control Panel'!$B$8-11),0)</f>
        <v/>
      </c>
      <c r="I10" s="4">
        <f>AVERAGE(D10,E10,F10)</f>
        <v/>
      </c>
      <c r="J10" s="4">
        <f>(D10+E10+F10+IFERROR(INDEX($AW10:$BT10,1,'Control Panel'!$B$8-3),0)+IFERROR(INDEX($AW10:$BT10,1,'Control Panel'!$B$8-4),0)+G10)/6</f>
        <v/>
      </c>
      <c r="K10" s="4">
        <f>(IFERROR(INDEX($AW10:$BT10,1,'Control Panel'!$B$8-0),0)+IFERROR(INDEX($AW10:$BT10,1,'Control Panel'!$B$8-1),0)+IFERROR(INDEX($AW10:$BT10,1,'Control Panel'!$B$8-2),0)+IFERROR(INDEX($AW10:$BT10,1,'Control Panel'!$B$8-3),0)+IFERROR(INDEX($AW10:$BT10,1,'Control Panel'!$B$8-4),0)+IFERROR(INDEX($AW10:$BT10,1,'Control Panel'!$B$8-5),0)+IFERROR(INDEX($AW10:$BT10,1,'Control Panel'!$B$8-6),0)+IFERROR(INDEX($AW10:$BT10,1,'Control Panel'!$B$8-7),0)+IFERROR(INDEX($AW10:$BT10,1,'Control Panel'!$B$8-8),0)+IFERROR(INDEX($AW10:$BT10,1,'Control Panel'!$B$8-9),0)+IFERROR(INDEX($AW10:$BT10,1,'Control Panel'!$B$8-10),0)+IFERROR(INDEX($AW10:$BT10,1,'Control Panel'!$B$8-11),0))/12</f>
        <v/>
      </c>
      <c r="L10" s="4">
        <f>IFERROR(MAX(-'Control Panel'!$B$36,MIN('Control Panel'!$B$36,(I10-J10)/J10)),0)</f>
        <v/>
      </c>
      <c r="M10" s="4">
        <f>(D10-G10)/5</f>
        <v/>
      </c>
      <c r="N10" s="4">
        <f>IFERROR(IF(H10&gt;0,(D10/H10)^(1/12)-1,0),0)</f>
        <v/>
      </c>
      <c r="O10" s="4">
        <f>IFERROR((IFERROR(INDEX('Seasonality Matrix'!$B$4:$M$11,MATCH($C10,'Seasonality Matrix'!$A$4:$A$11,0),MATCH('Control Panel'!$B$12,'Seasonality Matrix'!$B$3:$M$3,0)),1))/(IFERROR(AVERAGE(INDEX('Seasonality Matrix'!$B$4:$M$11,MATCH($C10,'Seasonality Matrix'!$A$4:$A$11,0),0)),1)),1)</f>
        <v/>
      </c>
      <c r="P10" s="4">
        <f>IFERROR((IFERROR(INDEX('Seasonality Matrix'!$B$4:$M$11,MATCH($C10,'Seasonality Matrix'!$A$4:$A$11,0),MATCH('Control Panel'!$B$13,'Seasonality Matrix'!$B$3:$M$3,0)),1))/(IFERROR(AVERAGE(INDEX('Seasonality Matrix'!$B$4:$M$11,MATCH($C10,'Seasonality Matrix'!$A$4:$A$11,0),0)),1)),1)</f>
        <v/>
      </c>
      <c r="Q10" s="4">
        <f>IFERROR((IFERROR(INDEX('Seasonality Matrix'!$B$4:$M$11,MATCH($C10,'Seasonality Matrix'!$A$4:$A$11,0),MATCH('Control Panel'!$B$14,'Seasonality Matrix'!$B$3:$M$3,0)),1))/(IFERROR(AVERAGE(INDEX('Seasonality Matrix'!$B$4:$M$11,MATCH($C10,'Seasonality Matrix'!$A$4:$A$11,0),0)),1)),1)</f>
        <v/>
      </c>
      <c r="R10" s="4">
        <f>IFERROR(INDEX($AW10:$BT10,1,'Control Panel'!$B$9-12),0)</f>
        <v/>
      </c>
      <c r="S10" s="4">
        <f>IFERROR(INDEX($AW10:$BT10,1,'Control Panel'!$B$10-12),0)</f>
        <v/>
      </c>
      <c r="T10" s="4">
        <f>IFERROR(INDEX($AW10:$BT10,1,'Control Panel'!$B$11-12),0)</f>
        <v/>
      </c>
      <c r="U10" s="33">
        <f>'Control Panel'!$B$45</f>
        <v/>
      </c>
      <c r="V10" s="16">
        <f>IFERROR(SUMIFS('Promotion Calendar'!$G$4:$G$12,'Promotion Calendar'!$A$4:$A$12,$A10,'Promotion Calendar'!$B$4:$B$12,$B10,'Promotion Calendar'!$C$4:$C$12,'Control Panel'!$B$4),0)</f>
        <v/>
      </c>
      <c r="W10" s="16">
        <f>IFERROR(SUMIFS('Promotion Calendar'!$G$4:$G$12,'Promotion Calendar'!$A$4:$A$12,$A10,'Promotion Calendar'!$B$4:$B$12,$B10,'Promotion Calendar'!$C$4:$C$12,'Control Panel'!$B$6),0)</f>
        <v/>
      </c>
      <c r="X10" s="16">
        <f>IFERROR(SUMIFS('Promotion Calendar'!$G$4:$G$12,'Promotion Calendar'!$A$4:$A$12,$A10,'Promotion Calendar'!$B$4:$B$12,$B10,'Promotion Calendar'!$C$4:$C$12,'Control Panel'!$B$7),0)</f>
        <v/>
      </c>
      <c r="Y10" s="14">
        <f>IFERROR(SUMIFS('NPI &amp; EPD Planning'!$I$4:$I$10,'NPI &amp; EPD Planning'!$A$4:$A$10,$A10,'NPI &amp; EPD Planning'!$B$4:$B$10,$B10,'NPI &amp; EPD Planning'!$D$4:$D$10,'Control Panel'!$B$4),0)</f>
        <v/>
      </c>
      <c r="Z10" s="14">
        <f>IFERROR(SUMIFS('NPI &amp; EPD Planning'!$I$4:$I$10,'NPI &amp; EPD Planning'!$A$4:$A$10,$A10,'NPI &amp; EPD Planning'!$B$4:$B$10,$B10,'NPI &amp; EPD Planning'!$D$4:$D$10,'Control Panel'!$B$6),0)</f>
        <v/>
      </c>
      <c r="AA10" s="14">
        <f>IFERROR(SUMIFS('NPI &amp; EPD Planning'!$I$4:$I$10,'NPI &amp; EPD Planning'!$A$4:$A$10,$A10,'NPI &amp; EPD Planning'!$B$4:$B$10,$B10,'NPI &amp; EPD Planning'!$D$4:$D$10,'Control Panel'!$B$7),0)</f>
        <v/>
      </c>
      <c r="AB10" s="34">
        <f>IFERROR(('Control Panel'!$B$17*(('Control Panel'!$B$28*D10+'Control Panel'!$B$29*E10+'Control Panel'!$B$30*F10)*O10)+'Control Panel'!$B$18*((('Control Panel'!$B$27*(1-'Control Panel'!$B$27)^0*IFERROR(INDEX($AW10:$BT10,1,'Control Panel'!$B$8-0),0)+'Control Panel'!$B$27*(1-'Control Panel'!$B$27)^1*IFERROR(INDEX($AW10:$BT10,1,'Control Panel'!$B$8-1),0)+'Control Panel'!$B$27*(1-'Control Panel'!$B$27)^2*IFERROR(INDEX($AW10:$BT10,1,'Control Panel'!$B$8-2),0)+'Control Panel'!$B$27*(1-'Control Panel'!$B$27)^3*IFERROR(INDEX($AW10:$BT10,1,'Control Panel'!$B$8-3),0)+'Control Panel'!$B$27*(1-'Control Panel'!$B$27)^4*IFERROR(INDEX($AW10:$BT10,1,'Control Panel'!$B$8-4),0)+'Control Panel'!$B$27*(1-'Control Panel'!$B$27)^5*IFERROR(INDEX($AW10:$BT10,1,'Control Panel'!$B$8-5),0))/(1-(1-'Control Panel'!$B$27)^6))*O10)+'Control Panel'!$B$19*((D10+M10*1)*O10)+'Control Panel'!$B$20*(K10*O10)+'Control Panel'!$B$21*(D10*(1+N10)^1*O10)+'Control Panel'!$B$22*(I10*O10)+'Control Panel'!$B$23*(R10*(1+IFERROR(D10/H10-1,0))))/'Control Panel'!$B$24,0)</f>
        <v/>
      </c>
      <c r="AC10" s="34">
        <f>IFERROR(('Control Panel'!$B$17*(('Control Panel'!$B$28*D10+'Control Panel'!$B$29*E10+'Control Panel'!$B$30*F10)*P10)+'Control Panel'!$B$18*((('Control Panel'!$B$27*(1-'Control Panel'!$B$27)^0*IFERROR(INDEX($AW10:$BT10,1,'Control Panel'!$B$8-0),0)+'Control Panel'!$B$27*(1-'Control Panel'!$B$27)^1*IFERROR(INDEX($AW10:$BT10,1,'Control Panel'!$B$8-1),0)+'Control Panel'!$B$27*(1-'Control Panel'!$B$27)^2*IFERROR(INDEX($AW10:$BT10,1,'Control Panel'!$B$8-2),0)+'Control Panel'!$B$27*(1-'Control Panel'!$B$27)^3*IFERROR(INDEX($AW10:$BT10,1,'Control Panel'!$B$8-3),0)+'Control Panel'!$B$27*(1-'Control Panel'!$B$27)^4*IFERROR(INDEX($AW10:$BT10,1,'Control Panel'!$B$8-4),0)+'Control Panel'!$B$27*(1-'Control Panel'!$B$27)^5*IFERROR(INDEX($AW10:$BT10,1,'Control Panel'!$B$8-5),0))/(1-(1-'Control Panel'!$B$27)^6))*P10)+'Control Panel'!$B$19*((D10+M10*2)*P10)+'Control Panel'!$B$20*(K10*P10)+'Control Panel'!$B$21*(D10*(1+N10)^2*P10)+'Control Panel'!$B$22*(I10*P10)+'Control Panel'!$B$23*(S10*(1+IFERROR(D10/H10-1,0))))/'Control Panel'!$B$24,0)</f>
        <v/>
      </c>
      <c r="AD10" s="34">
        <f>IFERROR(('Control Panel'!$B$17*(('Control Panel'!$B$28*D10+'Control Panel'!$B$29*E10+'Control Panel'!$B$30*F10)*Q10)+'Control Panel'!$B$18*((('Control Panel'!$B$27*(1-'Control Panel'!$B$27)^0*IFERROR(INDEX($AW10:$BT10,1,'Control Panel'!$B$8-0),0)+'Control Panel'!$B$27*(1-'Control Panel'!$B$27)^1*IFERROR(INDEX($AW10:$BT10,1,'Control Panel'!$B$8-1),0)+'Control Panel'!$B$27*(1-'Control Panel'!$B$27)^2*IFERROR(INDEX($AW10:$BT10,1,'Control Panel'!$B$8-2),0)+'Control Panel'!$B$27*(1-'Control Panel'!$B$27)^3*IFERROR(INDEX($AW10:$BT10,1,'Control Panel'!$B$8-3),0)+'Control Panel'!$B$27*(1-'Control Panel'!$B$27)^4*IFERROR(INDEX($AW10:$BT10,1,'Control Panel'!$B$8-4),0)+'Control Panel'!$B$27*(1-'Control Panel'!$B$27)^5*IFERROR(INDEX($AW10:$BT10,1,'Control Panel'!$B$8-5),0))/(1-(1-'Control Panel'!$B$27)^6))*Q10)+'Control Panel'!$B$19*((D10+M10*3)*Q10)+'Control Panel'!$B$20*(K10*Q10)+'Control Panel'!$B$21*(D10*(1+N10)^3*Q10)+'Control Panel'!$B$22*(I10*Q10)+'Control Panel'!$B$23*(T10*(1+IFERROR(D10/H10-1,0))))/'Control Panel'!$B$24,0)</f>
        <v/>
      </c>
      <c r="AE10" s="34">
        <f>MAX(0,AB10*(1+U10+V10))</f>
        <v/>
      </c>
      <c r="AF10" s="34">
        <f>MAX(0,AC10*(1+U10+W10))</f>
        <v/>
      </c>
      <c r="AG10" s="34">
        <f>MAX(0,AD10*(1+U10+X10))</f>
        <v/>
      </c>
      <c r="AH10" s="35">
        <f>IFERROR(('Control Panel'!$B$33*AB10+'Control Panel'!$B$34*AE10+'Control Panel'!$B$35*(AB10*(1+L10+V10)))/('Control Panel'!$B$33+'Control Panel'!$B$34+'Control Panel'!$B$35),0)</f>
        <v/>
      </c>
      <c r="AI10" s="35">
        <f>IFERROR(('Control Panel'!$B$33*AC10+'Control Panel'!$B$34*AF10+'Control Panel'!$B$35*(AC10*(1+L10+W10)))/('Control Panel'!$B$33+'Control Panel'!$B$34+'Control Panel'!$B$35),0)</f>
        <v/>
      </c>
      <c r="AJ10" s="35">
        <f>IFERROR(('Control Panel'!$B$33*AD10+'Control Panel'!$B$34*AG10+'Control Panel'!$B$35*(AD10*(1+L10+X10)))/('Control Panel'!$B$33+'Control Panel'!$B$34+'Control Panel'!$B$35),0)</f>
        <v/>
      </c>
      <c r="AK10" s="35">
        <f>AH10*'Control Panel'!$B$39+Y10</f>
        <v/>
      </c>
      <c r="AL10" s="35">
        <f>AI10*'Control Panel'!$B$39+Z10</f>
        <v/>
      </c>
      <c r="AM10" s="35">
        <f>AJ10*'Control Panel'!$B$39+AA10</f>
        <v/>
      </c>
      <c r="AN10" s="35">
        <f>AH10*'Control Panel'!$B$40+Y10</f>
        <v/>
      </c>
      <c r="AO10" s="35">
        <f>AI10*'Control Panel'!$B$40+Z10</f>
        <v/>
      </c>
      <c r="AP10" s="35">
        <f>AJ10*'Control Panel'!$B$40+AA10</f>
        <v/>
      </c>
      <c r="AQ10" s="35">
        <f>AH10*'Control Panel'!$B$41+Y10</f>
        <v/>
      </c>
      <c r="AR10" s="35">
        <f>AI10*'Control Panel'!$B$41+Z10</f>
        <v/>
      </c>
      <c r="AS10" s="35">
        <f>AJ10*'Control Panel'!$B$41+AA10</f>
        <v/>
      </c>
      <c r="AT10" s="36">
        <f>AH10*'Control Panel'!$B$42+Y10</f>
        <v/>
      </c>
      <c r="AU10" s="36">
        <f>AI10*'Control Panel'!$B$42+Z10</f>
        <v/>
      </c>
      <c r="AV10" s="36">
        <f>AJ10*'Control Panel'!$B$42+AA10</f>
        <v/>
      </c>
      <c r="AW10" s="37">
        <f>SUMIFS('Primary Sales History'!$C$4:$C$33,'Primary Sales History'!$A$4:$A$33,$A10,'Primary Sales History'!$B$4:$B$33,$B10)</f>
        <v/>
      </c>
      <c r="AX10" s="37">
        <f>SUMIFS('Primary Sales History'!$D$4:$D$33,'Primary Sales History'!$A$4:$A$33,$A10,'Primary Sales History'!$B$4:$B$33,$B10)</f>
        <v/>
      </c>
      <c r="AY10" s="37">
        <f>SUMIFS('Primary Sales History'!$E$4:$E$33,'Primary Sales History'!$A$4:$A$33,$A10,'Primary Sales History'!$B$4:$B$33,$B10)</f>
        <v/>
      </c>
      <c r="AZ10" s="37">
        <f>SUMIFS('Primary Sales History'!$F$4:$F$33,'Primary Sales History'!$A$4:$A$33,$A10,'Primary Sales History'!$B$4:$B$33,$B10)</f>
        <v/>
      </c>
      <c r="BA10" s="37">
        <f>SUMIFS('Primary Sales History'!$G$4:$G$33,'Primary Sales History'!$A$4:$A$33,$A10,'Primary Sales History'!$B$4:$B$33,$B10)</f>
        <v/>
      </c>
      <c r="BB10" s="37">
        <f>SUMIFS('Primary Sales History'!$H$4:$H$33,'Primary Sales History'!$A$4:$A$33,$A10,'Primary Sales History'!$B$4:$B$33,$B10)</f>
        <v/>
      </c>
      <c r="BC10" s="37">
        <f>SUMIFS('Primary Sales History'!$I$4:$I$33,'Primary Sales History'!$A$4:$A$33,$A10,'Primary Sales History'!$B$4:$B$33,$B10)</f>
        <v/>
      </c>
      <c r="BD10" s="37">
        <f>SUMIFS('Primary Sales History'!$J$4:$J$33,'Primary Sales History'!$A$4:$A$33,$A10,'Primary Sales History'!$B$4:$B$33,$B10)</f>
        <v/>
      </c>
      <c r="BE10" s="37">
        <f>SUMIFS('Primary Sales History'!$K$4:$K$33,'Primary Sales History'!$A$4:$A$33,$A10,'Primary Sales History'!$B$4:$B$33,$B10)</f>
        <v/>
      </c>
      <c r="BF10" s="37">
        <f>SUMIFS('Primary Sales History'!$L$4:$L$33,'Primary Sales History'!$A$4:$A$33,$A10,'Primary Sales History'!$B$4:$B$33,$B10)</f>
        <v/>
      </c>
      <c r="BG10" s="37">
        <f>SUMIFS('Primary Sales History'!$M$4:$M$33,'Primary Sales History'!$A$4:$A$33,$A10,'Primary Sales History'!$B$4:$B$33,$B10)</f>
        <v/>
      </c>
      <c r="BH10" s="37">
        <f>SUMIFS('Primary Sales History'!$N$4:$N$33,'Primary Sales History'!$A$4:$A$33,$A10,'Primary Sales History'!$B$4:$B$33,$B10)</f>
        <v/>
      </c>
      <c r="BI10" s="37">
        <f>SUMIFS('Primary Sales History'!$O$4:$O$33,'Primary Sales History'!$A$4:$A$33,$A10,'Primary Sales History'!$B$4:$B$33,$B10)</f>
        <v/>
      </c>
      <c r="BJ10" s="37">
        <f>SUMIFS('Primary Sales History'!$P$4:$P$33,'Primary Sales History'!$A$4:$A$33,$A10,'Primary Sales History'!$B$4:$B$33,$B10)</f>
        <v/>
      </c>
      <c r="BK10" s="37" t="n">
        <v>0</v>
      </c>
      <c r="BL10" s="37" t="n">
        <v>0</v>
      </c>
      <c r="BM10" s="37" t="n">
        <v>0</v>
      </c>
      <c r="BN10" s="37" t="n">
        <v>0</v>
      </c>
      <c r="BO10" s="37" t="n">
        <v>0</v>
      </c>
      <c r="BP10" s="37" t="n">
        <v>0</v>
      </c>
      <c r="BQ10" s="37" t="n">
        <v>0</v>
      </c>
      <c r="BR10" s="37" t="n">
        <v>0</v>
      </c>
      <c r="BS10" s="37" t="n">
        <v>0</v>
      </c>
      <c r="BT10" s="37" t="n">
        <v>0</v>
      </c>
    </row>
    <row r="11">
      <c r="A11" s="31" t="inlineStr">
        <is>
          <t>Mamaearth</t>
        </is>
      </c>
      <c r="B11" s="31" t="inlineStr">
        <is>
          <t>Fragrances</t>
        </is>
      </c>
      <c r="C11" s="32" t="inlineStr">
        <is>
          <t>Fragrances</t>
        </is>
      </c>
      <c r="D11" s="4">
        <f>IFERROR(INDEX($AW11:$BT11,1,'Control Panel'!$B$8-0),0)</f>
        <v/>
      </c>
      <c r="E11" s="4">
        <f>IFERROR(INDEX($AW11:$BT11,1,'Control Panel'!$B$8-1),0)</f>
        <v/>
      </c>
      <c r="F11" s="4">
        <f>IFERROR(INDEX($AW11:$BT11,1,'Control Panel'!$B$8-2),0)</f>
        <v/>
      </c>
      <c r="G11" s="4">
        <f>IFERROR(INDEX($AW11:$BT11,1,'Control Panel'!$B$8-5),0)</f>
        <v/>
      </c>
      <c r="H11" s="4">
        <f>IFERROR(INDEX($AW11:$BT11,1,'Control Panel'!$B$8-11),0)</f>
        <v/>
      </c>
      <c r="I11" s="4">
        <f>AVERAGE(D11,E11,F11)</f>
        <v/>
      </c>
      <c r="J11" s="4">
        <f>(D11+E11+F11+IFERROR(INDEX($AW11:$BT11,1,'Control Panel'!$B$8-3),0)+IFERROR(INDEX($AW11:$BT11,1,'Control Panel'!$B$8-4),0)+G11)/6</f>
        <v/>
      </c>
      <c r="K11" s="4">
        <f>(IFERROR(INDEX($AW11:$BT11,1,'Control Panel'!$B$8-0),0)+IFERROR(INDEX($AW11:$BT11,1,'Control Panel'!$B$8-1),0)+IFERROR(INDEX($AW11:$BT11,1,'Control Panel'!$B$8-2),0)+IFERROR(INDEX($AW11:$BT11,1,'Control Panel'!$B$8-3),0)+IFERROR(INDEX($AW11:$BT11,1,'Control Panel'!$B$8-4),0)+IFERROR(INDEX($AW11:$BT11,1,'Control Panel'!$B$8-5),0)+IFERROR(INDEX($AW11:$BT11,1,'Control Panel'!$B$8-6),0)+IFERROR(INDEX($AW11:$BT11,1,'Control Panel'!$B$8-7),0)+IFERROR(INDEX($AW11:$BT11,1,'Control Panel'!$B$8-8),0)+IFERROR(INDEX($AW11:$BT11,1,'Control Panel'!$B$8-9),0)+IFERROR(INDEX($AW11:$BT11,1,'Control Panel'!$B$8-10),0)+IFERROR(INDEX($AW11:$BT11,1,'Control Panel'!$B$8-11),0))/12</f>
        <v/>
      </c>
      <c r="L11" s="4">
        <f>IFERROR(MAX(-'Control Panel'!$B$36,MIN('Control Panel'!$B$36,(I11-J11)/J11)),0)</f>
        <v/>
      </c>
      <c r="M11" s="4">
        <f>(D11-G11)/5</f>
        <v/>
      </c>
      <c r="N11" s="4">
        <f>IFERROR(IF(H11&gt;0,(D11/H11)^(1/12)-1,0),0)</f>
        <v/>
      </c>
      <c r="O11" s="4">
        <f>IFERROR((IFERROR(INDEX('Seasonality Matrix'!$B$4:$M$11,MATCH($C11,'Seasonality Matrix'!$A$4:$A$11,0),MATCH('Control Panel'!$B$12,'Seasonality Matrix'!$B$3:$M$3,0)),1))/(IFERROR(AVERAGE(INDEX('Seasonality Matrix'!$B$4:$M$11,MATCH($C11,'Seasonality Matrix'!$A$4:$A$11,0),0)),1)),1)</f>
        <v/>
      </c>
      <c r="P11" s="4">
        <f>IFERROR((IFERROR(INDEX('Seasonality Matrix'!$B$4:$M$11,MATCH($C11,'Seasonality Matrix'!$A$4:$A$11,0),MATCH('Control Panel'!$B$13,'Seasonality Matrix'!$B$3:$M$3,0)),1))/(IFERROR(AVERAGE(INDEX('Seasonality Matrix'!$B$4:$M$11,MATCH($C11,'Seasonality Matrix'!$A$4:$A$11,0),0)),1)),1)</f>
        <v/>
      </c>
      <c r="Q11" s="4">
        <f>IFERROR((IFERROR(INDEX('Seasonality Matrix'!$B$4:$M$11,MATCH($C11,'Seasonality Matrix'!$A$4:$A$11,0),MATCH('Control Panel'!$B$14,'Seasonality Matrix'!$B$3:$M$3,0)),1))/(IFERROR(AVERAGE(INDEX('Seasonality Matrix'!$B$4:$M$11,MATCH($C11,'Seasonality Matrix'!$A$4:$A$11,0),0)),1)),1)</f>
        <v/>
      </c>
      <c r="R11" s="4">
        <f>IFERROR(INDEX($AW11:$BT11,1,'Control Panel'!$B$9-12),0)</f>
        <v/>
      </c>
      <c r="S11" s="4">
        <f>IFERROR(INDEX($AW11:$BT11,1,'Control Panel'!$B$10-12),0)</f>
        <v/>
      </c>
      <c r="T11" s="4">
        <f>IFERROR(INDEX($AW11:$BT11,1,'Control Panel'!$B$11-12),0)</f>
        <v/>
      </c>
      <c r="U11" s="33">
        <f>'Control Panel'!$B$45</f>
        <v/>
      </c>
      <c r="V11" s="16">
        <f>IFERROR(SUMIFS('Promotion Calendar'!$G$4:$G$12,'Promotion Calendar'!$A$4:$A$12,$A11,'Promotion Calendar'!$B$4:$B$12,$B11,'Promotion Calendar'!$C$4:$C$12,'Control Panel'!$B$4),0)</f>
        <v/>
      </c>
      <c r="W11" s="16">
        <f>IFERROR(SUMIFS('Promotion Calendar'!$G$4:$G$12,'Promotion Calendar'!$A$4:$A$12,$A11,'Promotion Calendar'!$B$4:$B$12,$B11,'Promotion Calendar'!$C$4:$C$12,'Control Panel'!$B$6),0)</f>
        <v/>
      </c>
      <c r="X11" s="16">
        <f>IFERROR(SUMIFS('Promotion Calendar'!$G$4:$G$12,'Promotion Calendar'!$A$4:$A$12,$A11,'Promotion Calendar'!$B$4:$B$12,$B11,'Promotion Calendar'!$C$4:$C$12,'Control Panel'!$B$7),0)</f>
        <v/>
      </c>
      <c r="Y11" s="14">
        <f>IFERROR(SUMIFS('NPI &amp; EPD Planning'!$I$4:$I$10,'NPI &amp; EPD Planning'!$A$4:$A$10,$A11,'NPI &amp; EPD Planning'!$B$4:$B$10,$B11,'NPI &amp; EPD Planning'!$D$4:$D$10,'Control Panel'!$B$4),0)</f>
        <v/>
      </c>
      <c r="Z11" s="14">
        <f>IFERROR(SUMIFS('NPI &amp; EPD Planning'!$I$4:$I$10,'NPI &amp; EPD Planning'!$A$4:$A$10,$A11,'NPI &amp; EPD Planning'!$B$4:$B$10,$B11,'NPI &amp; EPD Planning'!$D$4:$D$10,'Control Panel'!$B$6),0)</f>
        <v/>
      </c>
      <c r="AA11" s="14">
        <f>IFERROR(SUMIFS('NPI &amp; EPD Planning'!$I$4:$I$10,'NPI &amp; EPD Planning'!$A$4:$A$10,$A11,'NPI &amp; EPD Planning'!$B$4:$B$10,$B11,'NPI &amp; EPD Planning'!$D$4:$D$10,'Control Panel'!$B$7),0)</f>
        <v/>
      </c>
      <c r="AB11" s="34">
        <f>IFERROR(('Control Panel'!$B$17*(('Control Panel'!$B$28*D11+'Control Panel'!$B$29*E11+'Control Panel'!$B$30*F11)*O11)+'Control Panel'!$B$18*((('Control Panel'!$B$27*(1-'Control Panel'!$B$27)^0*IFERROR(INDEX($AW11:$BT11,1,'Control Panel'!$B$8-0),0)+'Control Panel'!$B$27*(1-'Control Panel'!$B$27)^1*IFERROR(INDEX($AW11:$BT11,1,'Control Panel'!$B$8-1),0)+'Control Panel'!$B$27*(1-'Control Panel'!$B$27)^2*IFERROR(INDEX($AW11:$BT11,1,'Control Panel'!$B$8-2),0)+'Control Panel'!$B$27*(1-'Control Panel'!$B$27)^3*IFERROR(INDEX($AW11:$BT11,1,'Control Panel'!$B$8-3),0)+'Control Panel'!$B$27*(1-'Control Panel'!$B$27)^4*IFERROR(INDEX($AW11:$BT11,1,'Control Panel'!$B$8-4),0)+'Control Panel'!$B$27*(1-'Control Panel'!$B$27)^5*IFERROR(INDEX($AW11:$BT11,1,'Control Panel'!$B$8-5),0))/(1-(1-'Control Panel'!$B$27)^6))*O11)+'Control Panel'!$B$19*((D11+M11*1)*O11)+'Control Panel'!$B$20*(K11*O11)+'Control Panel'!$B$21*(D11*(1+N11)^1*O11)+'Control Panel'!$B$22*(I11*O11)+'Control Panel'!$B$23*(R11*(1+IFERROR(D11/H11-1,0))))/'Control Panel'!$B$24,0)</f>
        <v/>
      </c>
      <c r="AC11" s="34">
        <f>IFERROR(('Control Panel'!$B$17*(('Control Panel'!$B$28*D11+'Control Panel'!$B$29*E11+'Control Panel'!$B$30*F11)*P11)+'Control Panel'!$B$18*((('Control Panel'!$B$27*(1-'Control Panel'!$B$27)^0*IFERROR(INDEX($AW11:$BT11,1,'Control Panel'!$B$8-0),0)+'Control Panel'!$B$27*(1-'Control Panel'!$B$27)^1*IFERROR(INDEX($AW11:$BT11,1,'Control Panel'!$B$8-1),0)+'Control Panel'!$B$27*(1-'Control Panel'!$B$27)^2*IFERROR(INDEX($AW11:$BT11,1,'Control Panel'!$B$8-2),0)+'Control Panel'!$B$27*(1-'Control Panel'!$B$27)^3*IFERROR(INDEX($AW11:$BT11,1,'Control Panel'!$B$8-3),0)+'Control Panel'!$B$27*(1-'Control Panel'!$B$27)^4*IFERROR(INDEX($AW11:$BT11,1,'Control Panel'!$B$8-4),0)+'Control Panel'!$B$27*(1-'Control Panel'!$B$27)^5*IFERROR(INDEX($AW11:$BT11,1,'Control Panel'!$B$8-5),0))/(1-(1-'Control Panel'!$B$27)^6))*P11)+'Control Panel'!$B$19*((D11+M11*2)*P11)+'Control Panel'!$B$20*(K11*P11)+'Control Panel'!$B$21*(D11*(1+N11)^2*P11)+'Control Panel'!$B$22*(I11*P11)+'Control Panel'!$B$23*(S11*(1+IFERROR(D11/H11-1,0))))/'Control Panel'!$B$24,0)</f>
        <v/>
      </c>
      <c r="AD11" s="34">
        <f>IFERROR(('Control Panel'!$B$17*(('Control Panel'!$B$28*D11+'Control Panel'!$B$29*E11+'Control Panel'!$B$30*F11)*Q11)+'Control Panel'!$B$18*((('Control Panel'!$B$27*(1-'Control Panel'!$B$27)^0*IFERROR(INDEX($AW11:$BT11,1,'Control Panel'!$B$8-0),0)+'Control Panel'!$B$27*(1-'Control Panel'!$B$27)^1*IFERROR(INDEX($AW11:$BT11,1,'Control Panel'!$B$8-1),0)+'Control Panel'!$B$27*(1-'Control Panel'!$B$27)^2*IFERROR(INDEX($AW11:$BT11,1,'Control Panel'!$B$8-2),0)+'Control Panel'!$B$27*(1-'Control Panel'!$B$27)^3*IFERROR(INDEX($AW11:$BT11,1,'Control Panel'!$B$8-3),0)+'Control Panel'!$B$27*(1-'Control Panel'!$B$27)^4*IFERROR(INDEX($AW11:$BT11,1,'Control Panel'!$B$8-4),0)+'Control Panel'!$B$27*(1-'Control Panel'!$B$27)^5*IFERROR(INDEX($AW11:$BT11,1,'Control Panel'!$B$8-5),0))/(1-(1-'Control Panel'!$B$27)^6))*Q11)+'Control Panel'!$B$19*((D11+M11*3)*Q11)+'Control Panel'!$B$20*(K11*Q11)+'Control Panel'!$B$21*(D11*(1+N11)^3*Q11)+'Control Panel'!$B$22*(I11*Q11)+'Control Panel'!$B$23*(T11*(1+IFERROR(D11/H11-1,0))))/'Control Panel'!$B$24,0)</f>
        <v/>
      </c>
      <c r="AE11" s="34">
        <f>MAX(0,AB11*(1+U11+V11))</f>
        <v/>
      </c>
      <c r="AF11" s="34">
        <f>MAX(0,AC11*(1+U11+W11))</f>
        <v/>
      </c>
      <c r="AG11" s="34">
        <f>MAX(0,AD11*(1+U11+X11))</f>
        <v/>
      </c>
      <c r="AH11" s="35">
        <f>IFERROR(('Control Panel'!$B$33*AB11+'Control Panel'!$B$34*AE11+'Control Panel'!$B$35*(AB11*(1+L11+V11)))/('Control Panel'!$B$33+'Control Panel'!$B$34+'Control Panel'!$B$35),0)</f>
        <v/>
      </c>
      <c r="AI11" s="35">
        <f>IFERROR(('Control Panel'!$B$33*AC11+'Control Panel'!$B$34*AF11+'Control Panel'!$B$35*(AC11*(1+L11+W11)))/('Control Panel'!$B$33+'Control Panel'!$B$34+'Control Panel'!$B$35),0)</f>
        <v/>
      </c>
      <c r="AJ11" s="35">
        <f>IFERROR(('Control Panel'!$B$33*AD11+'Control Panel'!$B$34*AG11+'Control Panel'!$B$35*(AD11*(1+L11+X11)))/('Control Panel'!$B$33+'Control Panel'!$B$34+'Control Panel'!$B$35),0)</f>
        <v/>
      </c>
      <c r="AK11" s="35">
        <f>AH11*'Control Panel'!$B$39+Y11</f>
        <v/>
      </c>
      <c r="AL11" s="35">
        <f>AI11*'Control Panel'!$B$39+Z11</f>
        <v/>
      </c>
      <c r="AM11" s="35">
        <f>AJ11*'Control Panel'!$B$39+AA11</f>
        <v/>
      </c>
      <c r="AN11" s="35">
        <f>AH11*'Control Panel'!$B$40+Y11</f>
        <v/>
      </c>
      <c r="AO11" s="35">
        <f>AI11*'Control Panel'!$B$40+Z11</f>
        <v/>
      </c>
      <c r="AP11" s="35">
        <f>AJ11*'Control Panel'!$B$40+AA11</f>
        <v/>
      </c>
      <c r="AQ11" s="35">
        <f>AH11*'Control Panel'!$B$41+Y11</f>
        <v/>
      </c>
      <c r="AR11" s="35">
        <f>AI11*'Control Panel'!$B$41+Z11</f>
        <v/>
      </c>
      <c r="AS11" s="35">
        <f>AJ11*'Control Panel'!$B$41+AA11</f>
        <v/>
      </c>
      <c r="AT11" s="36">
        <f>AH11*'Control Panel'!$B$42+Y11</f>
        <v/>
      </c>
      <c r="AU11" s="36">
        <f>AI11*'Control Panel'!$B$42+Z11</f>
        <v/>
      </c>
      <c r="AV11" s="36">
        <f>AJ11*'Control Panel'!$B$42+AA11</f>
        <v/>
      </c>
      <c r="AW11" s="37">
        <f>SUMIFS('Primary Sales History'!$C$4:$C$33,'Primary Sales History'!$A$4:$A$33,$A11,'Primary Sales History'!$B$4:$B$33,$B11)</f>
        <v/>
      </c>
      <c r="AX11" s="37">
        <f>SUMIFS('Primary Sales History'!$D$4:$D$33,'Primary Sales History'!$A$4:$A$33,$A11,'Primary Sales History'!$B$4:$B$33,$B11)</f>
        <v/>
      </c>
      <c r="AY11" s="37">
        <f>SUMIFS('Primary Sales History'!$E$4:$E$33,'Primary Sales History'!$A$4:$A$33,$A11,'Primary Sales History'!$B$4:$B$33,$B11)</f>
        <v/>
      </c>
      <c r="AZ11" s="37">
        <f>SUMIFS('Primary Sales History'!$F$4:$F$33,'Primary Sales History'!$A$4:$A$33,$A11,'Primary Sales History'!$B$4:$B$33,$B11)</f>
        <v/>
      </c>
      <c r="BA11" s="37">
        <f>SUMIFS('Primary Sales History'!$G$4:$G$33,'Primary Sales History'!$A$4:$A$33,$A11,'Primary Sales History'!$B$4:$B$33,$B11)</f>
        <v/>
      </c>
      <c r="BB11" s="37">
        <f>SUMIFS('Primary Sales History'!$H$4:$H$33,'Primary Sales History'!$A$4:$A$33,$A11,'Primary Sales History'!$B$4:$B$33,$B11)</f>
        <v/>
      </c>
      <c r="BC11" s="37">
        <f>SUMIFS('Primary Sales History'!$I$4:$I$33,'Primary Sales History'!$A$4:$A$33,$A11,'Primary Sales History'!$B$4:$B$33,$B11)</f>
        <v/>
      </c>
      <c r="BD11" s="37">
        <f>SUMIFS('Primary Sales History'!$J$4:$J$33,'Primary Sales History'!$A$4:$A$33,$A11,'Primary Sales History'!$B$4:$B$33,$B11)</f>
        <v/>
      </c>
      <c r="BE11" s="37">
        <f>SUMIFS('Primary Sales History'!$K$4:$K$33,'Primary Sales History'!$A$4:$A$33,$A11,'Primary Sales History'!$B$4:$B$33,$B11)</f>
        <v/>
      </c>
      <c r="BF11" s="37">
        <f>SUMIFS('Primary Sales History'!$L$4:$L$33,'Primary Sales History'!$A$4:$A$33,$A11,'Primary Sales History'!$B$4:$B$33,$B11)</f>
        <v/>
      </c>
      <c r="BG11" s="37">
        <f>SUMIFS('Primary Sales History'!$M$4:$M$33,'Primary Sales History'!$A$4:$A$33,$A11,'Primary Sales History'!$B$4:$B$33,$B11)</f>
        <v/>
      </c>
      <c r="BH11" s="37">
        <f>SUMIFS('Primary Sales History'!$N$4:$N$33,'Primary Sales History'!$A$4:$A$33,$A11,'Primary Sales History'!$B$4:$B$33,$B11)</f>
        <v/>
      </c>
      <c r="BI11" s="37">
        <f>SUMIFS('Primary Sales History'!$O$4:$O$33,'Primary Sales History'!$A$4:$A$33,$A11,'Primary Sales History'!$B$4:$B$33,$B11)</f>
        <v/>
      </c>
      <c r="BJ11" s="37">
        <f>SUMIFS('Primary Sales History'!$P$4:$P$33,'Primary Sales History'!$A$4:$A$33,$A11,'Primary Sales History'!$B$4:$B$33,$B11)</f>
        <v/>
      </c>
      <c r="BK11" s="37" t="n">
        <v>0</v>
      </c>
      <c r="BL11" s="37" t="n">
        <v>0</v>
      </c>
      <c r="BM11" s="37" t="n">
        <v>0</v>
      </c>
      <c r="BN11" s="37" t="n">
        <v>0</v>
      </c>
      <c r="BO11" s="37" t="n">
        <v>0</v>
      </c>
      <c r="BP11" s="37" t="n">
        <v>0</v>
      </c>
      <c r="BQ11" s="37" t="n">
        <v>0</v>
      </c>
      <c r="BR11" s="37" t="n">
        <v>0</v>
      </c>
      <c r="BS11" s="37" t="n">
        <v>0</v>
      </c>
      <c r="BT11" s="37" t="n">
        <v>0</v>
      </c>
    </row>
    <row r="12">
      <c r="A12" s="31" t="inlineStr">
        <is>
          <t>BBLUNT</t>
        </is>
      </c>
      <c r="B12" s="31" t="inlineStr">
        <is>
          <t>Styling Products</t>
        </is>
      </c>
      <c r="C12" s="32" t="inlineStr">
        <is>
          <t>Styling Products</t>
        </is>
      </c>
      <c r="D12" s="4">
        <f>IFERROR(INDEX($AW12:$BT12,1,'Control Panel'!$B$8-0),0)</f>
        <v/>
      </c>
      <c r="E12" s="4">
        <f>IFERROR(INDEX($AW12:$BT12,1,'Control Panel'!$B$8-1),0)</f>
        <v/>
      </c>
      <c r="F12" s="4">
        <f>IFERROR(INDEX($AW12:$BT12,1,'Control Panel'!$B$8-2),0)</f>
        <v/>
      </c>
      <c r="G12" s="4">
        <f>IFERROR(INDEX($AW12:$BT12,1,'Control Panel'!$B$8-5),0)</f>
        <v/>
      </c>
      <c r="H12" s="4">
        <f>IFERROR(INDEX($AW12:$BT12,1,'Control Panel'!$B$8-11),0)</f>
        <v/>
      </c>
      <c r="I12" s="4">
        <f>AVERAGE(D12,E12,F12)</f>
        <v/>
      </c>
      <c r="J12" s="4">
        <f>(D12+E12+F12+IFERROR(INDEX($AW12:$BT12,1,'Control Panel'!$B$8-3),0)+IFERROR(INDEX($AW12:$BT12,1,'Control Panel'!$B$8-4),0)+G12)/6</f>
        <v/>
      </c>
      <c r="K12" s="4">
        <f>(IFERROR(INDEX($AW12:$BT12,1,'Control Panel'!$B$8-0),0)+IFERROR(INDEX($AW12:$BT12,1,'Control Panel'!$B$8-1),0)+IFERROR(INDEX($AW12:$BT12,1,'Control Panel'!$B$8-2),0)+IFERROR(INDEX($AW12:$BT12,1,'Control Panel'!$B$8-3),0)+IFERROR(INDEX($AW12:$BT12,1,'Control Panel'!$B$8-4),0)+IFERROR(INDEX($AW12:$BT12,1,'Control Panel'!$B$8-5),0)+IFERROR(INDEX($AW12:$BT12,1,'Control Panel'!$B$8-6),0)+IFERROR(INDEX($AW12:$BT12,1,'Control Panel'!$B$8-7),0)+IFERROR(INDEX($AW12:$BT12,1,'Control Panel'!$B$8-8),0)+IFERROR(INDEX($AW12:$BT12,1,'Control Panel'!$B$8-9),0)+IFERROR(INDEX($AW12:$BT12,1,'Control Panel'!$B$8-10),0)+IFERROR(INDEX($AW12:$BT12,1,'Control Panel'!$B$8-11),0))/12</f>
        <v/>
      </c>
      <c r="L12" s="4">
        <f>IFERROR(MAX(-'Control Panel'!$B$36,MIN('Control Panel'!$B$36,(I12-J12)/J12)),0)</f>
        <v/>
      </c>
      <c r="M12" s="4">
        <f>(D12-G12)/5</f>
        <v/>
      </c>
      <c r="N12" s="4">
        <f>IFERROR(IF(H12&gt;0,(D12/H12)^(1/12)-1,0),0)</f>
        <v/>
      </c>
      <c r="O12" s="4">
        <f>IFERROR((IFERROR(INDEX('Seasonality Matrix'!$B$4:$M$11,MATCH($C12,'Seasonality Matrix'!$A$4:$A$11,0),MATCH('Control Panel'!$B$12,'Seasonality Matrix'!$B$3:$M$3,0)),1))/(IFERROR(AVERAGE(INDEX('Seasonality Matrix'!$B$4:$M$11,MATCH($C12,'Seasonality Matrix'!$A$4:$A$11,0),0)),1)),1)</f>
        <v/>
      </c>
      <c r="P12" s="4">
        <f>IFERROR((IFERROR(INDEX('Seasonality Matrix'!$B$4:$M$11,MATCH($C12,'Seasonality Matrix'!$A$4:$A$11,0),MATCH('Control Panel'!$B$13,'Seasonality Matrix'!$B$3:$M$3,0)),1))/(IFERROR(AVERAGE(INDEX('Seasonality Matrix'!$B$4:$M$11,MATCH($C12,'Seasonality Matrix'!$A$4:$A$11,0),0)),1)),1)</f>
        <v/>
      </c>
      <c r="Q12" s="4">
        <f>IFERROR((IFERROR(INDEX('Seasonality Matrix'!$B$4:$M$11,MATCH($C12,'Seasonality Matrix'!$A$4:$A$11,0),MATCH('Control Panel'!$B$14,'Seasonality Matrix'!$B$3:$M$3,0)),1))/(IFERROR(AVERAGE(INDEX('Seasonality Matrix'!$B$4:$M$11,MATCH($C12,'Seasonality Matrix'!$A$4:$A$11,0),0)),1)),1)</f>
        <v/>
      </c>
      <c r="R12" s="4">
        <f>IFERROR(INDEX($AW12:$BT12,1,'Control Panel'!$B$9-12),0)</f>
        <v/>
      </c>
      <c r="S12" s="4">
        <f>IFERROR(INDEX($AW12:$BT12,1,'Control Panel'!$B$10-12),0)</f>
        <v/>
      </c>
      <c r="T12" s="4">
        <f>IFERROR(INDEX($AW12:$BT12,1,'Control Panel'!$B$11-12),0)</f>
        <v/>
      </c>
      <c r="U12" s="33">
        <f>'Control Panel'!$B$45</f>
        <v/>
      </c>
      <c r="V12" s="16">
        <f>IFERROR(SUMIFS('Promotion Calendar'!$G$4:$G$12,'Promotion Calendar'!$A$4:$A$12,$A12,'Promotion Calendar'!$B$4:$B$12,$B12,'Promotion Calendar'!$C$4:$C$12,'Control Panel'!$B$4),0)</f>
        <v/>
      </c>
      <c r="W12" s="16">
        <f>IFERROR(SUMIFS('Promotion Calendar'!$G$4:$G$12,'Promotion Calendar'!$A$4:$A$12,$A12,'Promotion Calendar'!$B$4:$B$12,$B12,'Promotion Calendar'!$C$4:$C$12,'Control Panel'!$B$6),0)</f>
        <v/>
      </c>
      <c r="X12" s="16">
        <f>IFERROR(SUMIFS('Promotion Calendar'!$G$4:$G$12,'Promotion Calendar'!$A$4:$A$12,$A12,'Promotion Calendar'!$B$4:$B$12,$B12,'Promotion Calendar'!$C$4:$C$12,'Control Panel'!$B$7),0)</f>
        <v/>
      </c>
      <c r="Y12" s="14">
        <f>IFERROR(SUMIFS('NPI &amp; EPD Planning'!$I$4:$I$10,'NPI &amp; EPD Planning'!$A$4:$A$10,$A12,'NPI &amp; EPD Planning'!$B$4:$B$10,$B12,'NPI &amp; EPD Planning'!$D$4:$D$10,'Control Panel'!$B$4),0)</f>
        <v/>
      </c>
      <c r="Z12" s="14">
        <f>IFERROR(SUMIFS('NPI &amp; EPD Planning'!$I$4:$I$10,'NPI &amp; EPD Planning'!$A$4:$A$10,$A12,'NPI &amp; EPD Planning'!$B$4:$B$10,$B12,'NPI &amp; EPD Planning'!$D$4:$D$10,'Control Panel'!$B$6),0)</f>
        <v/>
      </c>
      <c r="AA12" s="14">
        <f>IFERROR(SUMIFS('NPI &amp; EPD Planning'!$I$4:$I$10,'NPI &amp; EPD Planning'!$A$4:$A$10,$A12,'NPI &amp; EPD Planning'!$B$4:$B$10,$B12,'NPI &amp; EPD Planning'!$D$4:$D$10,'Control Panel'!$B$7),0)</f>
        <v/>
      </c>
      <c r="AB12" s="34">
        <f>IFERROR(('Control Panel'!$B$17*(('Control Panel'!$B$28*D12+'Control Panel'!$B$29*E12+'Control Panel'!$B$30*F12)*O12)+'Control Panel'!$B$18*((('Control Panel'!$B$27*(1-'Control Panel'!$B$27)^0*IFERROR(INDEX($AW12:$BT12,1,'Control Panel'!$B$8-0),0)+'Control Panel'!$B$27*(1-'Control Panel'!$B$27)^1*IFERROR(INDEX($AW12:$BT12,1,'Control Panel'!$B$8-1),0)+'Control Panel'!$B$27*(1-'Control Panel'!$B$27)^2*IFERROR(INDEX($AW12:$BT12,1,'Control Panel'!$B$8-2),0)+'Control Panel'!$B$27*(1-'Control Panel'!$B$27)^3*IFERROR(INDEX($AW12:$BT12,1,'Control Panel'!$B$8-3),0)+'Control Panel'!$B$27*(1-'Control Panel'!$B$27)^4*IFERROR(INDEX($AW12:$BT12,1,'Control Panel'!$B$8-4),0)+'Control Panel'!$B$27*(1-'Control Panel'!$B$27)^5*IFERROR(INDEX($AW12:$BT12,1,'Control Panel'!$B$8-5),0))/(1-(1-'Control Panel'!$B$27)^6))*O12)+'Control Panel'!$B$19*((D12+M12*1)*O12)+'Control Panel'!$B$20*(K12*O12)+'Control Panel'!$B$21*(D12*(1+N12)^1*O12)+'Control Panel'!$B$22*(I12*O12)+'Control Panel'!$B$23*(R12*(1+IFERROR(D12/H12-1,0))))/'Control Panel'!$B$24,0)</f>
        <v/>
      </c>
      <c r="AC12" s="34">
        <f>IFERROR(('Control Panel'!$B$17*(('Control Panel'!$B$28*D12+'Control Panel'!$B$29*E12+'Control Panel'!$B$30*F12)*P12)+'Control Panel'!$B$18*((('Control Panel'!$B$27*(1-'Control Panel'!$B$27)^0*IFERROR(INDEX($AW12:$BT12,1,'Control Panel'!$B$8-0),0)+'Control Panel'!$B$27*(1-'Control Panel'!$B$27)^1*IFERROR(INDEX($AW12:$BT12,1,'Control Panel'!$B$8-1),0)+'Control Panel'!$B$27*(1-'Control Panel'!$B$27)^2*IFERROR(INDEX($AW12:$BT12,1,'Control Panel'!$B$8-2),0)+'Control Panel'!$B$27*(1-'Control Panel'!$B$27)^3*IFERROR(INDEX($AW12:$BT12,1,'Control Panel'!$B$8-3),0)+'Control Panel'!$B$27*(1-'Control Panel'!$B$27)^4*IFERROR(INDEX($AW12:$BT12,1,'Control Panel'!$B$8-4),0)+'Control Panel'!$B$27*(1-'Control Panel'!$B$27)^5*IFERROR(INDEX($AW12:$BT12,1,'Control Panel'!$B$8-5),0))/(1-(1-'Control Panel'!$B$27)^6))*P12)+'Control Panel'!$B$19*((D12+M12*2)*P12)+'Control Panel'!$B$20*(K12*P12)+'Control Panel'!$B$21*(D12*(1+N12)^2*P12)+'Control Panel'!$B$22*(I12*P12)+'Control Panel'!$B$23*(S12*(1+IFERROR(D12/H12-1,0))))/'Control Panel'!$B$24,0)</f>
        <v/>
      </c>
      <c r="AD12" s="34">
        <f>IFERROR(('Control Panel'!$B$17*(('Control Panel'!$B$28*D12+'Control Panel'!$B$29*E12+'Control Panel'!$B$30*F12)*Q12)+'Control Panel'!$B$18*((('Control Panel'!$B$27*(1-'Control Panel'!$B$27)^0*IFERROR(INDEX($AW12:$BT12,1,'Control Panel'!$B$8-0),0)+'Control Panel'!$B$27*(1-'Control Panel'!$B$27)^1*IFERROR(INDEX($AW12:$BT12,1,'Control Panel'!$B$8-1),0)+'Control Panel'!$B$27*(1-'Control Panel'!$B$27)^2*IFERROR(INDEX($AW12:$BT12,1,'Control Panel'!$B$8-2),0)+'Control Panel'!$B$27*(1-'Control Panel'!$B$27)^3*IFERROR(INDEX($AW12:$BT12,1,'Control Panel'!$B$8-3),0)+'Control Panel'!$B$27*(1-'Control Panel'!$B$27)^4*IFERROR(INDEX($AW12:$BT12,1,'Control Panel'!$B$8-4),0)+'Control Panel'!$B$27*(1-'Control Panel'!$B$27)^5*IFERROR(INDEX($AW12:$BT12,1,'Control Panel'!$B$8-5),0))/(1-(1-'Control Panel'!$B$27)^6))*Q12)+'Control Panel'!$B$19*((D12+M12*3)*Q12)+'Control Panel'!$B$20*(K12*Q12)+'Control Panel'!$B$21*(D12*(1+N12)^3*Q12)+'Control Panel'!$B$22*(I12*Q12)+'Control Panel'!$B$23*(T12*(1+IFERROR(D12/H12-1,0))))/'Control Panel'!$B$24,0)</f>
        <v/>
      </c>
      <c r="AE12" s="34">
        <f>MAX(0,AB12*(1+U12+V12))</f>
        <v/>
      </c>
      <c r="AF12" s="34">
        <f>MAX(0,AC12*(1+U12+W12))</f>
        <v/>
      </c>
      <c r="AG12" s="34">
        <f>MAX(0,AD12*(1+U12+X12))</f>
        <v/>
      </c>
      <c r="AH12" s="35">
        <f>IFERROR(('Control Panel'!$B$33*AB12+'Control Panel'!$B$34*AE12+'Control Panel'!$B$35*(AB12*(1+L12+V12)))/('Control Panel'!$B$33+'Control Panel'!$B$34+'Control Panel'!$B$35),0)</f>
        <v/>
      </c>
      <c r="AI12" s="35">
        <f>IFERROR(('Control Panel'!$B$33*AC12+'Control Panel'!$B$34*AF12+'Control Panel'!$B$35*(AC12*(1+L12+W12)))/('Control Panel'!$B$33+'Control Panel'!$B$34+'Control Panel'!$B$35),0)</f>
        <v/>
      </c>
      <c r="AJ12" s="35">
        <f>IFERROR(('Control Panel'!$B$33*AD12+'Control Panel'!$B$34*AG12+'Control Panel'!$B$35*(AD12*(1+L12+X12)))/('Control Panel'!$B$33+'Control Panel'!$B$34+'Control Panel'!$B$35),0)</f>
        <v/>
      </c>
      <c r="AK12" s="35">
        <f>AH12*'Control Panel'!$B$39+Y12</f>
        <v/>
      </c>
      <c r="AL12" s="35">
        <f>AI12*'Control Panel'!$B$39+Z12</f>
        <v/>
      </c>
      <c r="AM12" s="35">
        <f>AJ12*'Control Panel'!$B$39+AA12</f>
        <v/>
      </c>
      <c r="AN12" s="35">
        <f>AH12*'Control Panel'!$B$40+Y12</f>
        <v/>
      </c>
      <c r="AO12" s="35">
        <f>AI12*'Control Panel'!$B$40+Z12</f>
        <v/>
      </c>
      <c r="AP12" s="35">
        <f>AJ12*'Control Panel'!$B$40+AA12</f>
        <v/>
      </c>
      <c r="AQ12" s="35">
        <f>AH12*'Control Panel'!$B$41+Y12</f>
        <v/>
      </c>
      <c r="AR12" s="35">
        <f>AI12*'Control Panel'!$B$41+Z12</f>
        <v/>
      </c>
      <c r="AS12" s="35">
        <f>AJ12*'Control Panel'!$B$41+AA12</f>
        <v/>
      </c>
      <c r="AT12" s="36">
        <f>AH12*'Control Panel'!$B$42+Y12</f>
        <v/>
      </c>
      <c r="AU12" s="36">
        <f>AI12*'Control Panel'!$B$42+Z12</f>
        <v/>
      </c>
      <c r="AV12" s="36">
        <f>AJ12*'Control Panel'!$B$42+AA12</f>
        <v/>
      </c>
      <c r="AW12" s="37">
        <f>SUMIFS('Primary Sales History'!$C$4:$C$33,'Primary Sales History'!$A$4:$A$33,$A12,'Primary Sales History'!$B$4:$B$33,$B12)</f>
        <v/>
      </c>
      <c r="AX12" s="37">
        <f>SUMIFS('Primary Sales History'!$D$4:$D$33,'Primary Sales History'!$A$4:$A$33,$A12,'Primary Sales History'!$B$4:$B$33,$B12)</f>
        <v/>
      </c>
      <c r="AY12" s="37">
        <f>SUMIFS('Primary Sales History'!$E$4:$E$33,'Primary Sales History'!$A$4:$A$33,$A12,'Primary Sales History'!$B$4:$B$33,$B12)</f>
        <v/>
      </c>
      <c r="AZ12" s="37">
        <f>SUMIFS('Primary Sales History'!$F$4:$F$33,'Primary Sales History'!$A$4:$A$33,$A12,'Primary Sales History'!$B$4:$B$33,$B12)</f>
        <v/>
      </c>
      <c r="BA12" s="37">
        <f>SUMIFS('Primary Sales History'!$G$4:$G$33,'Primary Sales History'!$A$4:$A$33,$A12,'Primary Sales History'!$B$4:$B$33,$B12)</f>
        <v/>
      </c>
      <c r="BB12" s="37">
        <f>SUMIFS('Primary Sales History'!$H$4:$H$33,'Primary Sales History'!$A$4:$A$33,$A12,'Primary Sales History'!$B$4:$B$33,$B12)</f>
        <v/>
      </c>
      <c r="BC12" s="37">
        <f>SUMIFS('Primary Sales History'!$I$4:$I$33,'Primary Sales History'!$A$4:$A$33,$A12,'Primary Sales History'!$B$4:$B$33,$B12)</f>
        <v/>
      </c>
      <c r="BD12" s="37">
        <f>SUMIFS('Primary Sales History'!$J$4:$J$33,'Primary Sales History'!$A$4:$A$33,$A12,'Primary Sales History'!$B$4:$B$33,$B12)</f>
        <v/>
      </c>
      <c r="BE12" s="37">
        <f>SUMIFS('Primary Sales History'!$K$4:$K$33,'Primary Sales History'!$A$4:$A$33,$A12,'Primary Sales History'!$B$4:$B$33,$B12)</f>
        <v/>
      </c>
      <c r="BF12" s="37">
        <f>SUMIFS('Primary Sales History'!$L$4:$L$33,'Primary Sales History'!$A$4:$A$33,$A12,'Primary Sales History'!$B$4:$B$33,$B12)</f>
        <v/>
      </c>
      <c r="BG12" s="37">
        <f>SUMIFS('Primary Sales History'!$M$4:$M$33,'Primary Sales History'!$A$4:$A$33,$A12,'Primary Sales History'!$B$4:$B$33,$B12)</f>
        <v/>
      </c>
      <c r="BH12" s="37">
        <f>SUMIFS('Primary Sales History'!$N$4:$N$33,'Primary Sales History'!$A$4:$A$33,$A12,'Primary Sales History'!$B$4:$B$33,$B12)</f>
        <v/>
      </c>
      <c r="BI12" s="37">
        <f>SUMIFS('Primary Sales History'!$O$4:$O$33,'Primary Sales History'!$A$4:$A$33,$A12,'Primary Sales History'!$B$4:$B$33,$B12)</f>
        <v/>
      </c>
      <c r="BJ12" s="37">
        <f>SUMIFS('Primary Sales History'!$P$4:$P$33,'Primary Sales History'!$A$4:$A$33,$A12,'Primary Sales History'!$B$4:$B$33,$B12)</f>
        <v/>
      </c>
      <c r="BK12" s="37" t="n">
        <v>0</v>
      </c>
      <c r="BL12" s="37" t="n">
        <v>0</v>
      </c>
      <c r="BM12" s="37" t="n">
        <v>0</v>
      </c>
      <c r="BN12" s="37" t="n">
        <v>0</v>
      </c>
      <c r="BO12" s="37" t="n">
        <v>0</v>
      </c>
      <c r="BP12" s="37" t="n">
        <v>0</v>
      </c>
      <c r="BQ12" s="37" t="n">
        <v>0</v>
      </c>
      <c r="BR12" s="37" t="n">
        <v>0</v>
      </c>
      <c r="BS12" s="37" t="n">
        <v>0</v>
      </c>
      <c r="BT12" s="37" t="n">
        <v>0</v>
      </c>
    </row>
    <row r="13">
      <c r="A13" s="38" t="inlineStr">
        <is>
          <t>COMPANY TOTAL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18">
        <f>SUM(AB4:AB12)</f>
        <v/>
      </c>
      <c r="AC13" s="18">
        <f>SUM(AC4:AC12)</f>
        <v/>
      </c>
      <c r="AD13" s="18">
        <f>SUM(AD4:AD12)</f>
        <v/>
      </c>
      <c r="AE13" s="18">
        <f>SUM(AE4:AE12)</f>
        <v/>
      </c>
      <c r="AF13" s="18">
        <f>SUM(AF4:AF12)</f>
        <v/>
      </c>
      <c r="AG13" s="18">
        <f>SUM(AG4:AG12)</f>
        <v/>
      </c>
      <c r="AH13" s="18">
        <f>SUM(AH4:AH12)</f>
        <v/>
      </c>
      <c r="AI13" s="18">
        <f>SUM(AI4:AI12)</f>
        <v/>
      </c>
      <c r="AJ13" s="18">
        <f>SUM(AJ4:AJ12)</f>
        <v/>
      </c>
      <c r="AK13" s="18">
        <f>SUM(AK4:AK12)</f>
        <v/>
      </c>
      <c r="AL13" s="18">
        <f>SUM(AL4:AL12)</f>
        <v/>
      </c>
      <c r="AM13" s="18">
        <f>SUM(AM4:AM12)</f>
        <v/>
      </c>
      <c r="AN13" s="18">
        <f>SUM(AN4:AN12)</f>
        <v/>
      </c>
      <c r="AO13" s="18">
        <f>SUM(AO4:AO12)</f>
        <v/>
      </c>
      <c r="AP13" s="18">
        <f>SUM(AP4:AP12)</f>
        <v/>
      </c>
      <c r="AQ13" s="18">
        <f>SUM(AQ4:AQ12)</f>
        <v/>
      </c>
      <c r="AR13" s="18">
        <f>SUM(AR4:AR12)</f>
        <v/>
      </c>
      <c r="AS13" s="18">
        <f>SUM(AS4:AS12)</f>
        <v/>
      </c>
      <c r="AT13" s="18">
        <f>SUM(AT4:AT12)</f>
        <v/>
      </c>
      <c r="AU13" s="18">
        <f>SUM(AU4:AU12)</f>
        <v/>
      </c>
      <c r="AV13" s="18">
        <f>SUM(AV4:AV12)</f>
        <v/>
      </c>
      <c r="AW13" s="4" t="n"/>
      <c r="AX13" s="4" t="n"/>
      <c r="AY13" s="4" t="n"/>
      <c r="AZ13" s="4" t="n"/>
      <c r="BA13" s="4" t="n"/>
      <c r="BB13" s="4" t="n"/>
      <c r="BC13" s="4" t="n"/>
      <c r="BD13" s="4" t="n"/>
      <c r="BE13" s="4" t="n"/>
      <c r="BF13" s="4" t="n"/>
      <c r="BG13" s="4" t="n"/>
      <c r="BH13" s="4" t="n"/>
      <c r="BI13" s="4" t="n"/>
      <c r="BJ13" s="4" t="n"/>
      <c r="BK13" s="4" t="n"/>
      <c r="BL13" s="4" t="n"/>
      <c r="BM13" s="4" t="n"/>
      <c r="BN13" s="4" t="n"/>
      <c r="BO13" s="4" t="n"/>
      <c r="BP13" s="4" t="n"/>
      <c r="BQ13" s="4" t="n"/>
      <c r="BR13" s="4" t="n"/>
      <c r="BS13" s="4" t="n"/>
      <c r="BT13" s="4" t="n"/>
    </row>
  </sheetData>
  <mergeCells count="2">
    <mergeCell ref="A2:AN2"/>
    <mergeCell ref="A1:A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12" customWidth="1" min="4" max="4"/>
    <col width="22" customWidth="1" min="5" max="5"/>
    <col width="12" customWidth="1" min="6" max="6"/>
    <col width="12" customWidth="1" min="7" max="7"/>
    <col width="12" customWidth="1" min="8" max="8"/>
    <col width="11" customWidth="1" min="9" max="9"/>
    <col width="10" customWidth="1" min="10" max="10"/>
    <col width="10" customWidth="1" min="11" max="11"/>
    <col width="11" customWidth="1" min="12" max="12"/>
  </cols>
  <sheetData>
    <row r="1" ht="26" customHeight="1">
      <c r="A1" s="1" t="inlineStr">
        <is>
          <t>FORECAST PLAN · Article × Brand × Chain × Region  ·  rolling 3-month (₹ Cr)</t>
        </is>
      </c>
    </row>
    <row r="2">
      <c r="A2" s="12" t="inlineStr">
        <is>
          <t>The Brand×Category forecast is split to each Article×Chain×Region line by real historical contribution % (primary Apr'25–May'26), so it reconciles exactly to the Forecast Engine. Use the column filters (Brand / Chain / Region / Article) to slice. Contribution % is editable — override a line and the plan re-weights within its Brand×Category. The '(long tail)' line per Brand×Category holds the residual so each Brand×Category still sums to 100%.</t>
        </is>
      </c>
    </row>
    <row r="3" ht="28" customHeight="1">
      <c r="A3" s="5" t="inlineStr">
        <is>
          <t>Article Code</t>
        </is>
      </c>
      <c r="B3" s="5" t="inlineStr">
        <is>
          <t>Article Description</t>
        </is>
      </c>
      <c r="C3" s="5" t="inlineStr">
        <is>
          <t>Brand</t>
        </is>
      </c>
      <c r="D3" s="5" t="inlineStr">
        <is>
          <t>Category</t>
        </is>
      </c>
      <c r="E3" s="5" t="inlineStr">
        <is>
          <t>Chain</t>
        </is>
      </c>
      <c r="F3" s="5" t="inlineStr">
        <is>
          <t>Region (Zone)</t>
        </is>
      </c>
      <c r="G3" s="5" t="inlineStr">
        <is>
          <t>Hist NSV (₹Cr)</t>
        </is>
      </c>
      <c r="H3" s="5" t="inlineStr">
        <is>
          <t>Contribution %</t>
        </is>
      </c>
      <c r="I3" s="5" t="inlineStr">
        <is>
          <t>Fcst M (₹Cr)</t>
        </is>
      </c>
      <c r="J3" s="5" t="inlineStr">
        <is>
          <t>Fcst M+1</t>
        </is>
      </c>
      <c r="K3" s="5" t="inlineStr">
        <is>
          <t>Fcst M+2</t>
        </is>
      </c>
      <c r="L3" s="5" t="inlineStr">
        <is>
          <t>3M Total</t>
        </is>
      </c>
    </row>
    <row r="4">
      <c r="A4" s="39" t="inlineStr"/>
      <c r="B4" s="39" t="inlineStr"/>
      <c r="C4" s="40" t="inlineStr">
        <is>
          <t>Mamaearth</t>
        </is>
      </c>
      <c r="D4" s="40" t="inlineStr">
        <is>
          <t>Face</t>
        </is>
      </c>
      <c r="E4" s="39" t="inlineStr">
        <is>
          <t>D-Mart</t>
        </is>
      </c>
      <c r="F4" s="41" t="inlineStr">
        <is>
          <t>North</t>
        </is>
      </c>
      <c r="G4" s="42" t="n">
        <v>4.7593</v>
      </c>
      <c r="H4" s="16">
        <f>IFERROR(G4/SUMIFS($G$4:$G$1504,$C$4:$C$1504,$C4,$D$4:$D$1504,$D4),0)</f>
        <v/>
      </c>
      <c r="I4" s="14">
        <f>$H4*SUMIFS('Forecast Engine'!$AK$4:$AK$12,'Forecast Engine'!$A$4:$A$12,$C4,'Forecast Engine'!$B$4:$B$12,$D4)</f>
        <v/>
      </c>
      <c r="J4" s="14">
        <f>$H4*SUMIFS('Forecast Engine'!$AL$4:$AL$12,'Forecast Engine'!$A$4:$A$12,$C4,'Forecast Engine'!$B$4:$B$12,$D4)</f>
        <v/>
      </c>
      <c r="K4" s="14">
        <f>$H4*SUMIFS('Forecast Engine'!$AM$4:$AM$12,'Forecast Engine'!$A$4:$A$12,$C4,'Forecast Engine'!$B$4:$B$12,$D4)</f>
        <v/>
      </c>
      <c r="L4" s="43">
        <f>SUM(I4:K4)</f>
        <v/>
      </c>
    </row>
    <row r="5">
      <c r="A5" s="39" t="inlineStr"/>
      <c r="B5" s="39" t="inlineStr"/>
      <c r="C5" s="40" t="inlineStr">
        <is>
          <t>Mamaearth</t>
        </is>
      </c>
      <c r="D5" s="40" t="inlineStr">
        <is>
          <t>Face</t>
        </is>
      </c>
      <c r="E5" s="39" t="inlineStr">
        <is>
          <t>Reliance Retail Limited</t>
        </is>
      </c>
      <c r="F5" s="41" t="inlineStr">
        <is>
          <t>North</t>
        </is>
      </c>
      <c r="G5" s="42" t="n">
        <v>3.9465</v>
      </c>
      <c r="H5" s="16">
        <f>IFERROR(G5/SUMIFS($G$4:$G$1504,$C$4:$C$1504,$C5,$D$4:$D$1504,$D5),0)</f>
        <v/>
      </c>
      <c r="I5" s="14">
        <f>$H5*SUMIFS('Forecast Engine'!$AK$4:$AK$12,'Forecast Engine'!$A$4:$A$12,$C5,'Forecast Engine'!$B$4:$B$12,$D5)</f>
        <v/>
      </c>
      <c r="J5" s="14">
        <f>$H5*SUMIFS('Forecast Engine'!$AL$4:$AL$12,'Forecast Engine'!$A$4:$A$12,$C5,'Forecast Engine'!$B$4:$B$12,$D5)</f>
        <v/>
      </c>
      <c r="K5" s="14">
        <f>$H5*SUMIFS('Forecast Engine'!$AM$4:$AM$12,'Forecast Engine'!$A$4:$A$12,$C5,'Forecast Engine'!$B$4:$B$12,$D5)</f>
        <v/>
      </c>
      <c r="L5" s="43">
        <f>SUM(I5:K5)</f>
        <v/>
      </c>
    </row>
    <row r="6">
      <c r="A6" s="39" t="inlineStr"/>
      <c r="B6" s="39" t="inlineStr"/>
      <c r="C6" s="40" t="inlineStr">
        <is>
          <t>Mamaearth</t>
        </is>
      </c>
      <c r="D6" s="40" t="inlineStr">
        <is>
          <t>Face</t>
        </is>
      </c>
      <c r="E6" s="39" t="inlineStr">
        <is>
          <t>D-Mart</t>
        </is>
      </c>
      <c r="F6" s="41" t="inlineStr">
        <is>
          <t>West</t>
        </is>
      </c>
      <c r="G6" s="42" t="n">
        <v>3.0698</v>
      </c>
      <c r="H6" s="16">
        <f>IFERROR(G6/SUMIFS($G$4:$G$1504,$C$4:$C$1504,$C6,$D$4:$D$1504,$D6),0)</f>
        <v/>
      </c>
      <c r="I6" s="14">
        <f>$H6*SUMIFS('Forecast Engine'!$AK$4:$AK$12,'Forecast Engine'!$A$4:$A$12,$C6,'Forecast Engine'!$B$4:$B$12,$D6)</f>
        <v/>
      </c>
      <c r="J6" s="14">
        <f>$H6*SUMIFS('Forecast Engine'!$AL$4:$AL$12,'Forecast Engine'!$A$4:$A$12,$C6,'Forecast Engine'!$B$4:$B$12,$D6)</f>
        <v/>
      </c>
      <c r="K6" s="14">
        <f>$H6*SUMIFS('Forecast Engine'!$AM$4:$AM$12,'Forecast Engine'!$A$4:$A$12,$C6,'Forecast Engine'!$B$4:$B$12,$D6)</f>
        <v/>
      </c>
      <c r="L6" s="43">
        <f>SUM(I6:K6)</f>
        <v/>
      </c>
    </row>
    <row r="7">
      <c r="A7" s="39" t="inlineStr"/>
      <c r="B7" s="39" t="inlineStr"/>
      <c r="C7" s="40" t="inlineStr">
        <is>
          <t>Mamaearth</t>
        </is>
      </c>
      <c r="D7" s="40" t="inlineStr">
        <is>
          <t>Face</t>
        </is>
      </c>
      <c r="E7" s="39" t="inlineStr">
        <is>
          <t>Reliance Retail Limited</t>
        </is>
      </c>
      <c r="F7" s="41" t="inlineStr">
        <is>
          <t>East</t>
        </is>
      </c>
      <c r="G7" s="42" t="n">
        <v>2.6554</v>
      </c>
      <c r="H7" s="16">
        <f>IFERROR(G7/SUMIFS($G$4:$G$1504,$C$4:$C$1504,$C7,$D$4:$D$1504,$D7),0)</f>
        <v/>
      </c>
      <c r="I7" s="14">
        <f>$H7*SUMIFS('Forecast Engine'!$AK$4:$AK$12,'Forecast Engine'!$A$4:$A$12,$C7,'Forecast Engine'!$B$4:$B$12,$D7)</f>
        <v/>
      </c>
      <c r="J7" s="14">
        <f>$H7*SUMIFS('Forecast Engine'!$AL$4:$AL$12,'Forecast Engine'!$A$4:$A$12,$C7,'Forecast Engine'!$B$4:$B$12,$D7)</f>
        <v/>
      </c>
      <c r="K7" s="14">
        <f>$H7*SUMIFS('Forecast Engine'!$AM$4:$AM$12,'Forecast Engine'!$A$4:$A$12,$C7,'Forecast Engine'!$B$4:$B$12,$D7)</f>
        <v/>
      </c>
      <c r="L7" s="43">
        <f>SUM(I7:K7)</f>
        <v/>
      </c>
    </row>
    <row r="8">
      <c r="A8" s="39" t="inlineStr"/>
      <c r="B8" s="39" t="inlineStr"/>
      <c r="C8" s="40" t="inlineStr">
        <is>
          <t>Mamaearth</t>
        </is>
      </c>
      <c r="D8" s="40" t="inlineStr">
        <is>
          <t>Face</t>
        </is>
      </c>
      <c r="E8" s="39" t="inlineStr">
        <is>
          <t>Vanaja Agencies</t>
        </is>
      </c>
      <c r="F8" s="41" t="inlineStr">
        <is>
          <t>South-2</t>
        </is>
      </c>
      <c r="G8" s="42" t="n">
        <v>2.4625</v>
      </c>
      <c r="H8" s="16">
        <f>IFERROR(G8/SUMIFS($G$4:$G$1504,$C$4:$C$1504,$C8,$D$4:$D$1504,$D8),0)</f>
        <v/>
      </c>
      <c r="I8" s="14">
        <f>$H8*SUMIFS('Forecast Engine'!$AK$4:$AK$12,'Forecast Engine'!$A$4:$A$12,$C8,'Forecast Engine'!$B$4:$B$12,$D8)</f>
        <v/>
      </c>
      <c r="J8" s="14">
        <f>$H8*SUMIFS('Forecast Engine'!$AL$4:$AL$12,'Forecast Engine'!$A$4:$A$12,$C8,'Forecast Engine'!$B$4:$B$12,$D8)</f>
        <v/>
      </c>
      <c r="K8" s="14">
        <f>$H8*SUMIFS('Forecast Engine'!$AM$4:$AM$12,'Forecast Engine'!$A$4:$A$12,$C8,'Forecast Engine'!$B$4:$B$12,$D8)</f>
        <v/>
      </c>
      <c r="L8" s="43">
        <f>SUM(I8:K8)</f>
        <v/>
      </c>
    </row>
    <row r="9">
      <c r="A9" s="39" t="inlineStr"/>
      <c r="B9" s="39" t="inlineStr"/>
      <c r="C9" s="40" t="inlineStr">
        <is>
          <t>Mamaearth</t>
        </is>
      </c>
      <c r="D9" s="40" t="inlineStr">
        <is>
          <t>Face</t>
        </is>
      </c>
      <c r="E9" s="39" t="inlineStr">
        <is>
          <t>JUST MARK-Dmart</t>
        </is>
      </c>
      <c r="F9" s="41" t="inlineStr">
        <is>
          <t>West</t>
        </is>
      </c>
      <c r="G9" s="42" t="n">
        <v>2.3006</v>
      </c>
      <c r="H9" s="16">
        <f>IFERROR(G9/SUMIFS($G$4:$G$1504,$C$4:$C$1504,$C9,$D$4:$D$1504,$D9),0)</f>
        <v/>
      </c>
      <c r="I9" s="14">
        <f>$H9*SUMIFS('Forecast Engine'!$AK$4:$AK$12,'Forecast Engine'!$A$4:$A$12,$C9,'Forecast Engine'!$B$4:$B$12,$D9)</f>
        <v/>
      </c>
      <c r="J9" s="14">
        <f>$H9*SUMIFS('Forecast Engine'!$AL$4:$AL$12,'Forecast Engine'!$A$4:$A$12,$C9,'Forecast Engine'!$B$4:$B$12,$D9)</f>
        <v/>
      </c>
      <c r="K9" s="14">
        <f>$H9*SUMIFS('Forecast Engine'!$AM$4:$AM$12,'Forecast Engine'!$A$4:$A$12,$C9,'Forecast Engine'!$B$4:$B$12,$D9)</f>
        <v/>
      </c>
      <c r="L9" s="43">
        <f>SUM(I9:K9)</f>
        <v/>
      </c>
    </row>
    <row r="10">
      <c r="A10" s="39" t="inlineStr"/>
      <c r="B10" s="39" t="inlineStr"/>
      <c r="C10" s="40" t="inlineStr">
        <is>
          <t>Mamaearth</t>
        </is>
      </c>
      <c r="D10" s="40" t="inlineStr">
        <is>
          <t>Face</t>
        </is>
      </c>
      <c r="E10" s="39" t="inlineStr">
        <is>
          <t>G.V Enterprises</t>
        </is>
      </c>
      <c r="F10" s="41" t="inlineStr">
        <is>
          <t>South-1</t>
        </is>
      </c>
      <c r="G10" s="42" t="n">
        <v>2.2511</v>
      </c>
      <c r="H10" s="16">
        <f>IFERROR(G10/SUMIFS($G$4:$G$1504,$C$4:$C$1504,$C10,$D$4:$D$1504,$D10),0)</f>
        <v/>
      </c>
      <c r="I10" s="14">
        <f>$H10*SUMIFS('Forecast Engine'!$AK$4:$AK$12,'Forecast Engine'!$A$4:$A$12,$C10,'Forecast Engine'!$B$4:$B$12,$D10)</f>
        <v/>
      </c>
      <c r="J10" s="14">
        <f>$H10*SUMIFS('Forecast Engine'!$AL$4:$AL$12,'Forecast Engine'!$A$4:$A$12,$C10,'Forecast Engine'!$B$4:$B$12,$D10)</f>
        <v/>
      </c>
      <c r="K10" s="14">
        <f>$H10*SUMIFS('Forecast Engine'!$AM$4:$AM$12,'Forecast Engine'!$A$4:$A$12,$C10,'Forecast Engine'!$B$4:$B$12,$D10)</f>
        <v/>
      </c>
      <c r="L10" s="43">
        <f>SUM(I10:K10)</f>
        <v/>
      </c>
    </row>
    <row r="11">
      <c r="A11" s="39" t="inlineStr"/>
      <c r="B11" s="39" t="inlineStr"/>
      <c r="C11" s="40" t="inlineStr">
        <is>
          <t>Mamaearth</t>
        </is>
      </c>
      <c r="D11" s="40" t="inlineStr">
        <is>
          <t>Face</t>
        </is>
      </c>
      <c r="E11" s="39" t="inlineStr">
        <is>
          <t>Kiran Trading Company</t>
        </is>
      </c>
      <c r="F11" s="41" t="inlineStr">
        <is>
          <t>West</t>
        </is>
      </c>
      <c r="G11" s="42" t="n">
        <v>2.1098</v>
      </c>
      <c r="H11" s="16">
        <f>IFERROR(G11/SUMIFS($G$4:$G$1504,$C$4:$C$1504,$C11,$D$4:$D$1504,$D11),0)</f>
        <v/>
      </c>
      <c r="I11" s="14">
        <f>$H11*SUMIFS('Forecast Engine'!$AK$4:$AK$12,'Forecast Engine'!$A$4:$A$12,$C11,'Forecast Engine'!$B$4:$B$12,$D11)</f>
        <v/>
      </c>
      <c r="J11" s="14">
        <f>$H11*SUMIFS('Forecast Engine'!$AL$4:$AL$12,'Forecast Engine'!$A$4:$A$12,$C11,'Forecast Engine'!$B$4:$B$12,$D11)</f>
        <v/>
      </c>
      <c r="K11" s="14">
        <f>$H11*SUMIFS('Forecast Engine'!$AM$4:$AM$12,'Forecast Engine'!$A$4:$A$12,$C11,'Forecast Engine'!$B$4:$B$12,$D11)</f>
        <v/>
      </c>
      <c r="L11" s="43">
        <f>SUM(I11:K11)</f>
        <v/>
      </c>
    </row>
    <row r="12">
      <c r="A12" s="39" t="inlineStr"/>
      <c r="B12" s="39" t="inlineStr"/>
      <c r="C12" s="40" t="inlineStr">
        <is>
          <t>Mamaearth</t>
        </is>
      </c>
      <c r="D12" s="40" t="inlineStr">
        <is>
          <t>Face</t>
        </is>
      </c>
      <c r="E12" s="39" t="inlineStr">
        <is>
          <t>Sri Vijaya Durga Agencie</t>
        </is>
      </c>
      <c r="F12" s="41" t="inlineStr">
        <is>
          <t>South-2</t>
        </is>
      </c>
      <c r="G12" s="42" t="n">
        <v>2.064</v>
      </c>
      <c r="H12" s="16">
        <f>IFERROR(G12/SUMIFS($G$4:$G$1504,$C$4:$C$1504,$C12,$D$4:$D$1504,$D12),0)</f>
        <v/>
      </c>
      <c r="I12" s="14">
        <f>$H12*SUMIFS('Forecast Engine'!$AK$4:$AK$12,'Forecast Engine'!$A$4:$A$12,$C12,'Forecast Engine'!$B$4:$B$12,$D12)</f>
        <v/>
      </c>
      <c r="J12" s="14">
        <f>$H12*SUMIFS('Forecast Engine'!$AL$4:$AL$12,'Forecast Engine'!$A$4:$A$12,$C12,'Forecast Engine'!$B$4:$B$12,$D12)</f>
        <v/>
      </c>
      <c r="K12" s="14">
        <f>$H12*SUMIFS('Forecast Engine'!$AM$4:$AM$12,'Forecast Engine'!$A$4:$A$12,$C12,'Forecast Engine'!$B$4:$B$12,$D12)</f>
        <v/>
      </c>
      <c r="L12" s="43">
        <f>SUM(I12:K12)</f>
        <v/>
      </c>
    </row>
    <row r="13">
      <c r="A13" s="39" t="inlineStr">
        <is>
          <t>10101163</t>
        </is>
      </c>
      <c r="B13" s="39" t="inlineStr">
        <is>
          <t>Rice Dewy Bright Face wash</t>
        </is>
      </c>
      <c r="C13" s="40" t="inlineStr">
        <is>
          <t>Mamaearth</t>
        </is>
      </c>
      <c r="D13" s="40" t="inlineStr">
        <is>
          <t>Face</t>
        </is>
      </c>
      <c r="E13" s="39" t="inlineStr">
        <is>
          <t>Reliance Retail Limited</t>
        </is>
      </c>
      <c r="F13" s="41" t="inlineStr">
        <is>
          <t>North</t>
        </is>
      </c>
      <c r="G13" s="42" t="n">
        <v>1.9436</v>
      </c>
      <c r="H13" s="16">
        <f>IFERROR(G13/SUMIFS($G$4:$G$1504,$C$4:$C$1504,$C13,$D$4:$D$1504,$D13),0)</f>
        <v/>
      </c>
      <c r="I13" s="14">
        <f>$H13*SUMIFS('Forecast Engine'!$AK$4:$AK$12,'Forecast Engine'!$A$4:$A$12,$C13,'Forecast Engine'!$B$4:$B$12,$D13)</f>
        <v/>
      </c>
      <c r="J13" s="14">
        <f>$H13*SUMIFS('Forecast Engine'!$AL$4:$AL$12,'Forecast Engine'!$A$4:$A$12,$C13,'Forecast Engine'!$B$4:$B$12,$D13)</f>
        <v/>
      </c>
      <c r="K13" s="14">
        <f>$H13*SUMIFS('Forecast Engine'!$AM$4:$AM$12,'Forecast Engine'!$A$4:$A$12,$C13,'Forecast Engine'!$B$4:$B$12,$D13)</f>
        <v/>
      </c>
      <c r="L13" s="43">
        <f>SUM(I13:K13)</f>
        <v/>
      </c>
    </row>
    <row r="14">
      <c r="A14" s="39" t="inlineStr"/>
      <c r="B14" s="39" t="inlineStr"/>
      <c r="C14" s="40" t="inlineStr">
        <is>
          <t>Mamaearth</t>
        </is>
      </c>
      <c r="D14" s="40" t="inlineStr">
        <is>
          <t>Face</t>
        </is>
      </c>
      <c r="E14" s="39" t="inlineStr">
        <is>
          <t>Nykaa E-Retail Limited</t>
        </is>
      </c>
      <c r="F14" s="41" t="inlineStr">
        <is>
          <t>East</t>
        </is>
      </c>
      <c r="G14" s="42" t="n">
        <v>1.9417</v>
      </c>
      <c r="H14" s="16">
        <f>IFERROR(G14/SUMIFS($G$4:$G$1504,$C$4:$C$1504,$C14,$D$4:$D$1504,$D14),0)</f>
        <v/>
      </c>
      <c r="I14" s="14">
        <f>$H14*SUMIFS('Forecast Engine'!$AK$4:$AK$12,'Forecast Engine'!$A$4:$A$12,$C14,'Forecast Engine'!$B$4:$B$12,$D14)</f>
        <v/>
      </c>
      <c r="J14" s="14">
        <f>$H14*SUMIFS('Forecast Engine'!$AL$4:$AL$12,'Forecast Engine'!$A$4:$A$12,$C14,'Forecast Engine'!$B$4:$B$12,$D14)</f>
        <v/>
      </c>
      <c r="K14" s="14">
        <f>$H14*SUMIFS('Forecast Engine'!$AM$4:$AM$12,'Forecast Engine'!$A$4:$A$12,$C14,'Forecast Engine'!$B$4:$B$12,$D14)</f>
        <v/>
      </c>
      <c r="L14" s="43">
        <f>SUM(I14:K14)</f>
        <v/>
      </c>
    </row>
    <row r="15">
      <c r="A15" s="39" t="inlineStr"/>
      <c r="B15" s="39" t="inlineStr"/>
      <c r="C15" s="40" t="inlineStr">
        <is>
          <t>Mamaearth</t>
        </is>
      </c>
      <c r="D15" s="40" t="inlineStr">
        <is>
          <t>Face</t>
        </is>
      </c>
      <c r="E15" s="39" t="inlineStr">
        <is>
          <t>D-Mart</t>
        </is>
      </c>
      <c r="F15" s="41" t="inlineStr">
        <is>
          <t>South-1</t>
        </is>
      </c>
      <c r="G15" s="42" t="n">
        <v>1.8707</v>
      </c>
      <c r="H15" s="16">
        <f>IFERROR(G15/SUMIFS($G$4:$G$1504,$C$4:$C$1504,$C15,$D$4:$D$1504,$D15),0)</f>
        <v/>
      </c>
      <c r="I15" s="14">
        <f>$H15*SUMIFS('Forecast Engine'!$AK$4:$AK$12,'Forecast Engine'!$A$4:$A$12,$C15,'Forecast Engine'!$B$4:$B$12,$D15)</f>
        <v/>
      </c>
      <c r="J15" s="14">
        <f>$H15*SUMIFS('Forecast Engine'!$AL$4:$AL$12,'Forecast Engine'!$A$4:$A$12,$C15,'Forecast Engine'!$B$4:$B$12,$D15)</f>
        <v/>
      </c>
      <c r="K15" s="14">
        <f>$H15*SUMIFS('Forecast Engine'!$AM$4:$AM$12,'Forecast Engine'!$A$4:$A$12,$C15,'Forecast Engine'!$B$4:$B$12,$D15)</f>
        <v/>
      </c>
      <c r="L15" s="43">
        <f>SUM(I15:K15)</f>
        <v/>
      </c>
    </row>
    <row r="16">
      <c r="A16" s="39" t="inlineStr">
        <is>
          <t>10101163</t>
        </is>
      </c>
      <c r="B16" s="39" t="inlineStr">
        <is>
          <t>Rice Dewy Bright Face wash</t>
        </is>
      </c>
      <c r="C16" s="40" t="inlineStr">
        <is>
          <t>Mamaearth</t>
        </is>
      </c>
      <c r="D16" s="40" t="inlineStr">
        <is>
          <t>Face</t>
        </is>
      </c>
      <c r="E16" s="39" t="inlineStr">
        <is>
          <t>D-Mart</t>
        </is>
      </c>
      <c r="F16" s="41" t="inlineStr">
        <is>
          <t>North</t>
        </is>
      </c>
      <c r="G16" s="42" t="n">
        <v>1.8599</v>
      </c>
      <c r="H16" s="16">
        <f>IFERROR(G16/SUMIFS($G$4:$G$1504,$C$4:$C$1504,$C16,$D$4:$D$1504,$D16),0)</f>
        <v/>
      </c>
      <c r="I16" s="14">
        <f>$H16*SUMIFS('Forecast Engine'!$AK$4:$AK$12,'Forecast Engine'!$A$4:$A$12,$C16,'Forecast Engine'!$B$4:$B$12,$D16)</f>
        <v/>
      </c>
      <c r="J16" s="14">
        <f>$H16*SUMIFS('Forecast Engine'!$AL$4:$AL$12,'Forecast Engine'!$A$4:$A$12,$C16,'Forecast Engine'!$B$4:$B$12,$D16)</f>
        <v/>
      </c>
      <c r="K16" s="14">
        <f>$H16*SUMIFS('Forecast Engine'!$AM$4:$AM$12,'Forecast Engine'!$A$4:$A$12,$C16,'Forecast Engine'!$B$4:$B$12,$D16)</f>
        <v/>
      </c>
      <c r="L16" s="43">
        <f>SUM(I16:K16)</f>
        <v/>
      </c>
    </row>
    <row r="17">
      <c r="A17" s="39" t="inlineStr">
        <is>
          <t>10100695</t>
        </is>
      </c>
      <c r="B17" s="39" t="inlineStr">
        <is>
          <t xml:space="preserve">ME Ubtan Natural Glow Face Wash With Turmeric &amp; </t>
        </is>
      </c>
      <c r="C17" s="40" t="inlineStr">
        <is>
          <t>Mamaearth</t>
        </is>
      </c>
      <c r="D17" s="40" t="inlineStr">
        <is>
          <t>Face</t>
        </is>
      </c>
      <c r="E17" s="39" t="inlineStr">
        <is>
          <t>Reliance Retail Limited</t>
        </is>
      </c>
      <c r="F17" s="41" t="inlineStr">
        <is>
          <t>North</t>
        </is>
      </c>
      <c r="G17" s="42" t="n">
        <v>1.7703</v>
      </c>
      <c r="H17" s="16">
        <f>IFERROR(G17/SUMIFS($G$4:$G$1504,$C$4:$C$1504,$C17,$D$4:$D$1504,$D17),0)</f>
        <v/>
      </c>
      <c r="I17" s="14">
        <f>$H17*SUMIFS('Forecast Engine'!$AK$4:$AK$12,'Forecast Engine'!$A$4:$A$12,$C17,'Forecast Engine'!$B$4:$B$12,$D17)</f>
        <v/>
      </c>
      <c r="J17" s="14">
        <f>$H17*SUMIFS('Forecast Engine'!$AL$4:$AL$12,'Forecast Engine'!$A$4:$A$12,$C17,'Forecast Engine'!$B$4:$B$12,$D17)</f>
        <v/>
      </c>
      <c r="K17" s="14">
        <f>$H17*SUMIFS('Forecast Engine'!$AM$4:$AM$12,'Forecast Engine'!$A$4:$A$12,$C17,'Forecast Engine'!$B$4:$B$12,$D17)</f>
        <v/>
      </c>
      <c r="L17" s="43">
        <f>SUM(I17:K17)</f>
        <v/>
      </c>
    </row>
    <row r="18">
      <c r="A18" s="39" t="inlineStr">
        <is>
          <t>10101163</t>
        </is>
      </c>
      <c r="B18" s="39" t="inlineStr">
        <is>
          <t>Rice Dewy Bright Face wash</t>
        </is>
      </c>
      <c r="C18" s="40" t="inlineStr">
        <is>
          <t>Mamaearth</t>
        </is>
      </c>
      <c r="D18" s="40" t="inlineStr">
        <is>
          <t>Face</t>
        </is>
      </c>
      <c r="E18" s="39" t="inlineStr">
        <is>
          <t>D-Mart</t>
        </is>
      </c>
      <c r="F18" s="41" t="inlineStr">
        <is>
          <t>West</t>
        </is>
      </c>
      <c r="G18" s="42" t="n">
        <v>1.6422</v>
      </c>
      <c r="H18" s="16">
        <f>IFERROR(G18/SUMIFS($G$4:$G$1504,$C$4:$C$1504,$C18,$D$4:$D$1504,$D18),0)</f>
        <v/>
      </c>
      <c r="I18" s="14">
        <f>$H18*SUMIFS('Forecast Engine'!$AK$4:$AK$12,'Forecast Engine'!$A$4:$A$12,$C18,'Forecast Engine'!$B$4:$B$12,$D18)</f>
        <v/>
      </c>
      <c r="J18" s="14">
        <f>$H18*SUMIFS('Forecast Engine'!$AL$4:$AL$12,'Forecast Engine'!$A$4:$A$12,$C18,'Forecast Engine'!$B$4:$B$12,$D18)</f>
        <v/>
      </c>
      <c r="K18" s="14">
        <f>$H18*SUMIFS('Forecast Engine'!$AM$4:$AM$12,'Forecast Engine'!$A$4:$A$12,$C18,'Forecast Engine'!$B$4:$B$12,$D18)</f>
        <v/>
      </c>
      <c r="L18" s="43">
        <f>SUM(I18:K18)</f>
        <v/>
      </c>
    </row>
    <row r="19">
      <c r="A19" s="39" t="inlineStr">
        <is>
          <t>10100695</t>
        </is>
      </c>
      <c r="B19" s="39" t="inlineStr">
        <is>
          <t xml:space="preserve">ME Ubtan Natural Glow Face Wash With Turmeric &amp; </t>
        </is>
      </c>
      <c r="C19" s="40" t="inlineStr">
        <is>
          <t>Mamaearth</t>
        </is>
      </c>
      <c r="D19" s="40" t="inlineStr">
        <is>
          <t>Face</t>
        </is>
      </c>
      <c r="E19" s="39" t="inlineStr">
        <is>
          <t>Reliance Retail Limited</t>
        </is>
      </c>
      <c r="F19" s="41" t="inlineStr">
        <is>
          <t>East</t>
        </is>
      </c>
      <c r="G19" s="42" t="n">
        <v>1.6209</v>
      </c>
      <c r="H19" s="16">
        <f>IFERROR(G19/SUMIFS($G$4:$G$1504,$C$4:$C$1504,$C19,$D$4:$D$1504,$D19),0)</f>
        <v/>
      </c>
      <c r="I19" s="14">
        <f>$H19*SUMIFS('Forecast Engine'!$AK$4:$AK$12,'Forecast Engine'!$A$4:$A$12,$C19,'Forecast Engine'!$B$4:$B$12,$D19)</f>
        <v/>
      </c>
      <c r="J19" s="14">
        <f>$H19*SUMIFS('Forecast Engine'!$AL$4:$AL$12,'Forecast Engine'!$A$4:$A$12,$C19,'Forecast Engine'!$B$4:$B$12,$D19)</f>
        <v/>
      </c>
      <c r="K19" s="14">
        <f>$H19*SUMIFS('Forecast Engine'!$AM$4:$AM$12,'Forecast Engine'!$A$4:$A$12,$C19,'Forecast Engine'!$B$4:$B$12,$D19)</f>
        <v/>
      </c>
      <c r="L19" s="43">
        <f>SUM(I19:K19)</f>
        <v/>
      </c>
    </row>
    <row r="20">
      <c r="A20" s="39" t="inlineStr"/>
      <c r="B20" s="39" t="inlineStr"/>
      <c r="C20" s="40" t="inlineStr">
        <is>
          <t>Mamaearth</t>
        </is>
      </c>
      <c r="D20" s="40" t="inlineStr">
        <is>
          <t>Face</t>
        </is>
      </c>
      <c r="E20" s="39" t="inlineStr">
        <is>
          <t>Reliance Retail Limited</t>
        </is>
      </c>
      <c r="F20" s="41" t="inlineStr">
        <is>
          <t>South-1</t>
        </is>
      </c>
      <c r="G20" s="42" t="n">
        <v>1.5858</v>
      </c>
      <c r="H20" s="16">
        <f>IFERROR(G20/SUMIFS($G$4:$G$1504,$C$4:$C$1504,$C20,$D$4:$D$1504,$D20),0)</f>
        <v/>
      </c>
      <c r="I20" s="14">
        <f>$H20*SUMIFS('Forecast Engine'!$AK$4:$AK$12,'Forecast Engine'!$A$4:$A$12,$C20,'Forecast Engine'!$B$4:$B$12,$D20)</f>
        <v/>
      </c>
      <c r="J20" s="14">
        <f>$H20*SUMIFS('Forecast Engine'!$AL$4:$AL$12,'Forecast Engine'!$A$4:$A$12,$C20,'Forecast Engine'!$B$4:$B$12,$D20)</f>
        <v/>
      </c>
      <c r="K20" s="14">
        <f>$H20*SUMIFS('Forecast Engine'!$AM$4:$AM$12,'Forecast Engine'!$A$4:$A$12,$C20,'Forecast Engine'!$B$4:$B$12,$D20)</f>
        <v/>
      </c>
      <c r="L20" s="43">
        <f>SUM(I20:K20)</f>
        <v/>
      </c>
    </row>
    <row r="21">
      <c r="A21" s="39" t="inlineStr">
        <is>
          <t>10101163</t>
        </is>
      </c>
      <c r="B21" s="39" t="inlineStr">
        <is>
          <t>Rice Dewy Bright Face wash</t>
        </is>
      </c>
      <c r="C21" s="40" t="inlineStr">
        <is>
          <t>Mamaearth</t>
        </is>
      </c>
      <c r="D21" s="40" t="inlineStr">
        <is>
          <t>Face</t>
        </is>
      </c>
      <c r="E21" s="39" t="inlineStr">
        <is>
          <t>Kiran Trading Company</t>
        </is>
      </c>
      <c r="F21" s="41" t="inlineStr">
        <is>
          <t>West</t>
        </is>
      </c>
      <c r="G21" s="42" t="n">
        <v>1.5833</v>
      </c>
      <c r="H21" s="16">
        <f>IFERROR(G21/SUMIFS($G$4:$G$1504,$C$4:$C$1504,$C21,$D$4:$D$1504,$D21),0)</f>
        <v/>
      </c>
      <c r="I21" s="14">
        <f>$H21*SUMIFS('Forecast Engine'!$AK$4:$AK$12,'Forecast Engine'!$A$4:$A$12,$C21,'Forecast Engine'!$B$4:$B$12,$D21)</f>
        <v/>
      </c>
      <c r="J21" s="14">
        <f>$H21*SUMIFS('Forecast Engine'!$AL$4:$AL$12,'Forecast Engine'!$A$4:$A$12,$C21,'Forecast Engine'!$B$4:$B$12,$D21)</f>
        <v/>
      </c>
      <c r="K21" s="14">
        <f>$H21*SUMIFS('Forecast Engine'!$AM$4:$AM$12,'Forecast Engine'!$A$4:$A$12,$C21,'Forecast Engine'!$B$4:$B$12,$D21)</f>
        <v/>
      </c>
      <c r="L21" s="43">
        <f>SUM(I21:K21)</f>
        <v/>
      </c>
    </row>
    <row r="22">
      <c r="A22" s="39" t="inlineStr"/>
      <c r="B22" s="39" t="inlineStr"/>
      <c r="C22" s="40" t="inlineStr">
        <is>
          <t>Mamaearth</t>
        </is>
      </c>
      <c r="D22" s="40" t="inlineStr">
        <is>
          <t>Face</t>
        </is>
      </c>
      <c r="E22" s="39" t="inlineStr">
        <is>
          <t>Reliance Retail Limited</t>
        </is>
      </c>
      <c r="F22" s="41" t="inlineStr">
        <is>
          <t>West</t>
        </is>
      </c>
      <c r="G22" s="42" t="n">
        <v>1.5476</v>
      </c>
      <c r="H22" s="16">
        <f>IFERROR(G22/SUMIFS($G$4:$G$1504,$C$4:$C$1504,$C22,$D$4:$D$1504,$D22),0)</f>
        <v/>
      </c>
      <c r="I22" s="14">
        <f>$H22*SUMIFS('Forecast Engine'!$AK$4:$AK$12,'Forecast Engine'!$A$4:$A$12,$C22,'Forecast Engine'!$B$4:$B$12,$D22)</f>
        <v/>
      </c>
      <c r="J22" s="14">
        <f>$H22*SUMIFS('Forecast Engine'!$AL$4:$AL$12,'Forecast Engine'!$A$4:$A$12,$C22,'Forecast Engine'!$B$4:$B$12,$D22)</f>
        <v/>
      </c>
      <c r="K22" s="14">
        <f>$H22*SUMIFS('Forecast Engine'!$AM$4:$AM$12,'Forecast Engine'!$A$4:$A$12,$C22,'Forecast Engine'!$B$4:$B$12,$D22)</f>
        <v/>
      </c>
      <c r="L22" s="43">
        <f>SUM(I22:K22)</f>
        <v/>
      </c>
    </row>
    <row r="23">
      <c r="A23" s="39" t="inlineStr">
        <is>
          <t>10101163</t>
        </is>
      </c>
      <c r="B23" s="39" t="inlineStr">
        <is>
          <t>Rice Dewy Bright Face wash</t>
        </is>
      </c>
      <c r="C23" s="40" t="inlineStr">
        <is>
          <t>Mamaearth</t>
        </is>
      </c>
      <c r="D23" s="40" t="inlineStr">
        <is>
          <t>Face</t>
        </is>
      </c>
      <c r="E23" s="39" t="inlineStr">
        <is>
          <t>JUST MARK-Dmart</t>
        </is>
      </c>
      <c r="F23" s="41" t="inlineStr">
        <is>
          <t>West</t>
        </is>
      </c>
      <c r="G23" s="42" t="n">
        <v>1.5139</v>
      </c>
      <c r="H23" s="16">
        <f>IFERROR(G23/SUMIFS($G$4:$G$1504,$C$4:$C$1504,$C23,$D$4:$D$1504,$D23),0)</f>
        <v/>
      </c>
      <c r="I23" s="14">
        <f>$H23*SUMIFS('Forecast Engine'!$AK$4:$AK$12,'Forecast Engine'!$A$4:$A$12,$C23,'Forecast Engine'!$B$4:$B$12,$D23)</f>
        <v/>
      </c>
      <c r="J23" s="14">
        <f>$H23*SUMIFS('Forecast Engine'!$AL$4:$AL$12,'Forecast Engine'!$A$4:$A$12,$C23,'Forecast Engine'!$B$4:$B$12,$D23)</f>
        <v/>
      </c>
      <c r="K23" s="14">
        <f>$H23*SUMIFS('Forecast Engine'!$AM$4:$AM$12,'Forecast Engine'!$A$4:$A$12,$C23,'Forecast Engine'!$B$4:$B$12,$D23)</f>
        <v/>
      </c>
      <c r="L23" s="43">
        <f>SUM(I23:K23)</f>
        <v/>
      </c>
    </row>
    <row r="24">
      <c r="A24" s="39" t="inlineStr"/>
      <c r="B24" s="39" t="inlineStr"/>
      <c r="C24" s="40" t="inlineStr">
        <is>
          <t>Mamaearth</t>
        </is>
      </c>
      <c r="D24" s="40" t="inlineStr">
        <is>
          <t>Face</t>
        </is>
      </c>
      <c r="E24" s="39" t="inlineStr">
        <is>
          <t>Apollo Healthco</t>
        </is>
      </c>
      <c r="F24" s="41" t="inlineStr">
        <is>
          <t>South-1</t>
        </is>
      </c>
      <c r="G24" s="42" t="n">
        <v>1.485</v>
      </c>
      <c r="H24" s="16">
        <f>IFERROR(G24/SUMIFS($G$4:$G$1504,$C$4:$C$1504,$C24,$D$4:$D$1504,$D24),0)</f>
        <v/>
      </c>
      <c r="I24" s="14">
        <f>$H24*SUMIFS('Forecast Engine'!$AK$4:$AK$12,'Forecast Engine'!$A$4:$A$12,$C24,'Forecast Engine'!$B$4:$B$12,$D24)</f>
        <v/>
      </c>
      <c r="J24" s="14">
        <f>$H24*SUMIFS('Forecast Engine'!$AL$4:$AL$12,'Forecast Engine'!$A$4:$A$12,$C24,'Forecast Engine'!$B$4:$B$12,$D24)</f>
        <v/>
      </c>
      <c r="K24" s="14">
        <f>$H24*SUMIFS('Forecast Engine'!$AM$4:$AM$12,'Forecast Engine'!$A$4:$A$12,$C24,'Forecast Engine'!$B$4:$B$12,$D24)</f>
        <v/>
      </c>
      <c r="L24" s="43">
        <f>SUM(I24:K24)</f>
        <v/>
      </c>
    </row>
    <row r="25">
      <c r="A25" s="39" t="inlineStr">
        <is>
          <t>10101163</t>
        </is>
      </c>
      <c r="B25" s="39" t="inlineStr">
        <is>
          <t>Rice Dewy Bright Face wash</t>
        </is>
      </c>
      <c r="C25" s="40" t="inlineStr">
        <is>
          <t>Mamaearth</t>
        </is>
      </c>
      <c r="D25" s="40" t="inlineStr">
        <is>
          <t>Face</t>
        </is>
      </c>
      <c r="E25" s="39" t="inlineStr">
        <is>
          <t>Reliance Retail Limited</t>
        </is>
      </c>
      <c r="F25" s="41" t="inlineStr">
        <is>
          <t>East</t>
        </is>
      </c>
      <c r="G25" s="42" t="n">
        <v>1.282</v>
      </c>
      <c r="H25" s="16">
        <f>IFERROR(G25/SUMIFS($G$4:$G$1504,$C$4:$C$1504,$C25,$D$4:$D$1504,$D25),0)</f>
        <v/>
      </c>
      <c r="I25" s="14">
        <f>$H25*SUMIFS('Forecast Engine'!$AK$4:$AK$12,'Forecast Engine'!$A$4:$A$12,$C25,'Forecast Engine'!$B$4:$B$12,$D25)</f>
        <v/>
      </c>
      <c r="J25" s="14">
        <f>$H25*SUMIFS('Forecast Engine'!$AL$4:$AL$12,'Forecast Engine'!$A$4:$A$12,$C25,'Forecast Engine'!$B$4:$B$12,$D25)</f>
        <v/>
      </c>
      <c r="K25" s="14">
        <f>$H25*SUMIFS('Forecast Engine'!$AM$4:$AM$12,'Forecast Engine'!$A$4:$A$12,$C25,'Forecast Engine'!$B$4:$B$12,$D25)</f>
        <v/>
      </c>
      <c r="L25" s="43">
        <f>SUM(I25:K25)</f>
        <v/>
      </c>
    </row>
    <row r="26">
      <c r="A26" s="39" t="inlineStr"/>
      <c r="B26" s="39" t="inlineStr"/>
      <c r="C26" s="40" t="inlineStr">
        <is>
          <t>Mamaearth</t>
        </is>
      </c>
      <c r="D26" s="40" t="inlineStr">
        <is>
          <t>Face</t>
        </is>
      </c>
      <c r="E26" s="39" t="inlineStr">
        <is>
          <t>Nykaa E-Retail Limited</t>
        </is>
      </c>
      <c r="F26" s="41" t="inlineStr">
        <is>
          <t>North</t>
        </is>
      </c>
      <c r="G26" s="42" t="n">
        <v>1.1904</v>
      </c>
      <c r="H26" s="16">
        <f>IFERROR(G26/SUMIFS($G$4:$G$1504,$C$4:$C$1504,$C26,$D$4:$D$1504,$D26),0)</f>
        <v/>
      </c>
      <c r="I26" s="14">
        <f>$H26*SUMIFS('Forecast Engine'!$AK$4:$AK$12,'Forecast Engine'!$A$4:$A$12,$C26,'Forecast Engine'!$B$4:$B$12,$D26)</f>
        <v/>
      </c>
      <c r="J26" s="14">
        <f>$H26*SUMIFS('Forecast Engine'!$AL$4:$AL$12,'Forecast Engine'!$A$4:$A$12,$C26,'Forecast Engine'!$B$4:$B$12,$D26)</f>
        <v/>
      </c>
      <c r="K26" s="14">
        <f>$H26*SUMIFS('Forecast Engine'!$AM$4:$AM$12,'Forecast Engine'!$A$4:$A$12,$C26,'Forecast Engine'!$B$4:$B$12,$D26)</f>
        <v/>
      </c>
      <c r="L26" s="43">
        <f>SUM(I26:K26)</f>
        <v/>
      </c>
    </row>
    <row r="27">
      <c r="A27" s="39" t="inlineStr">
        <is>
          <t>10100695</t>
        </is>
      </c>
      <c r="B27" s="39" t="inlineStr">
        <is>
          <t xml:space="preserve">ME Ubtan Natural Glow Face Wash With Turmeric &amp; </t>
        </is>
      </c>
      <c r="C27" s="40" t="inlineStr">
        <is>
          <t>Mamaearth</t>
        </is>
      </c>
      <c r="D27" s="40" t="inlineStr">
        <is>
          <t>Face</t>
        </is>
      </c>
      <c r="E27" s="39" t="inlineStr">
        <is>
          <t>D-Mart</t>
        </is>
      </c>
      <c r="F27" s="41" t="inlineStr">
        <is>
          <t>West</t>
        </is>
      </c>
      <c r="G27" s="42" t="n">
        <v>1.1779</v>
      </c>
      <c r="H27" s="16">
        <f>IFERROR(G27/SUMIFS($G$4:$G$1504,$C$4:$C$1504,$C27,$D$4:$D$1504,$D27),0)</f>
        <v/>
      </c>
      <c r="I27" s="14">
        <f>$H27*SUMIFS('Forecast Engine'!$AK$4:$AK$12,'Forecast Engine'!$A$4:$A$12,$C27,'Forecast Engine'!$B$4:$B$12,$D27)</f>
        <v/>
      </c>
      <c r="J27" s="14">
        <f>$H27*SUMIFS('Forecast Engine'!$AL$4:$AL$12,'Forecast Engine'!$A$4:$A$12,$C27,'Forecast Engine'!$B$4:$B$12,$D27)</f>
        <v/>
      </c>
      <c r="K27" s="14">
        <f>$H27*SUMIFS('Forecast Engine'!$AM$4:$AM$12,'Forecast Engine'!$A$4:$A$12,$C27,'Forecast Engine'!$B$4:$B$12,$D27)</f>
        <v/>
      </c>
      <c r="L27" s="43">
        <f>SUM(I27:K27)</f>
        <v/>
      </c>
    </row>
    <row r="28">
      <c r="A28" s="39" t="inlineStr"/>
      <c r="B28" s="39" t="inlineStr"/>
      <c r="C28" s="40" t="inlineStr">
        <is>
          <t>Mamaearth</t>
        </is>
      </c>
      <c r="D28" s="40" t="inlineStr">
        <is>
          <t>Face</t>
        </is>
      </c>
      <c r="E28" s="39" t="inlineStr">
        <is>
          <t>Apollo Healthco</t>
        </is>
      </c>
      <c r="F28" s="41" t="inlineStr">
        <is>
          <t>North</t>
        </is>
      </c>
      <c r="G28" s="42" t="n">
        <v>1.1331</v>
      </c>
      <c r="H28" s="16">
        <f>IFERROR(G28/SUMIFS($G$4:$G$1504,$C$4:$C$1504,$C28,$D$4:$D$1504,$D28),0)</f>
        <v/>
      </c>
      <c r="I28" s="14">
        <f>$H28*SUMIFS('Forecast Engine'!$AK$4:$AK$12,'Forecast Engine'!$A$4:$A$12,$C28,'Forecast Engine'!$B$4:$B$12,$D28)</f>
        <v/>
      </c>
      <c r="J28" s="14">
        <f>$H28*SUMIFS('Forecast Engine'!$AL$4:$AL$12,'Forecast Engine'!$A$4:$A$12,$C28,'Forecast Engine'!$B$4:$B$12,$D28)</f>
        <v/>
      </c>
      <c r="K28" s="14">
        <f>$H28*SUMIFS('Forecast Engine'!$AM$4:$AM$12,'Forecast Engine'!$A$4:$A$12,$C28,'Forecast Engine'!$B$4:$B$12,$D28)</f>
        <v/>
      </c>
      <c r="L28" s="43">
        <f>SUM(I28:K28)</f>
        <v/>
      </c>
    </row>
    <row r="29">
      <c r="A29" s="39" t="inlineStr">
        <is>
          <t>10101163</t>
        </is>
      </c>
      <c r="B29" s="39" t="inlineStr">
        <is>
          <t>Rice Dewy Bright Face wash</t>
        </is>
      </c>
      <c r="C29" s="40" t="inlineStr">
        <is>
          <t>Mamaearth</t>
        </is>
      </c>
      <c r="D29" s="40" t="inlineStr">
        <is>
          <t>Face</t>
        </is>
      </c>
      <c r="E29" s="39" t="inlineStr">
        <is>
          <t>Apollo Healthco</t>
        </is>
      </c>
      <c r="F29" s="41" t="inlineStr">
        <is>
          <t>South-1</t>
        </is>
      </c>
      <c r="G29" s="42" t="n">
        <v>1.0456</v>
      </c>
      <c r="H29" s="16">
        <f>IFERROR(G29/SUMIFS($G$4:$G$1504,$C$4:$C$1504,$C29,$D$4:$D$1504,$D29),0)</f>
        <v/>
      </c>
      <c r="I29" s="14">
        <f>$H29*SUMIFS('Forecast Engine'!$AK$4:$AK$12,'Forecast Engine'!$A$4:$A$12,$C29,'Forecast Engine'!$B$4:$B$12,$D29)</f>
        <v/>
      </c>
      <c r="J29" s="14">
        <f>$H29*SUMIFS('Forecast Engine'!$AL$4:$AL$12,'Forecast Engine'!$A$4:$A$12,$C29,'Forecast Engine'!$B$4:$B$12,$D29)</f>
        <v/>
      </c>
      <c r="K29" s="14">
        <f>$H29*SUMIFS('Forecast Engine'!$AM$4:$AM$12,'Forecast Engine'!$A$4:$A$12,$C29,'Forecast Engine'!$B$4:$B$12,$D29)</f>
        <v/>
      </c>
      <c r="L29" s="43">
        <f>SUM(I29:K29)</f>
        <v/>
      </c>
    </row>
    <row r="30">
      <c r="A30" s="39" t="inlineStr">
        <is>
          <t>10100062</t>
        </is>
      </c>
      <c r="B30" s="39" t="inlineStr">
        <is>
          <t>Mamaearth Ultra Light Indian Sunscreen with Carr</t>
        </is>
      </c>
      <c r="C30" s="40" t="inlineStr">
        <is>
          <t>Mamaearth</t>
        </is>
      </c>
      <c r="D30" s="40" t="inlineStr">
        <is>
          <t>Face</t>
        </is>
      </c>
      <c r="E30" s="39" t="inlineStr">
        <is>
          <t>D-Mart</t>
        </is>
      </c>
      <c r="F30" s="41" t="inlineStr">
        <is>
          <t>North</t>
        </is>
      </c>
      <c r="G30" s="42" t="n">
        <v>0.998</v>
      </c>
      <c r="H30" s="16">
        <f>IFERROR(G30/SUMIFS($G$4:$G$1504,$C$4:$C$1504,$C30,$D$4:$D$1504,$D30),0)</f>
        <v/>
      </c>
      <c r="I30" s="14">
        <f>$H30*SUMIFS('Forecast Engine'!$AK$4:$AK$12,'Forecast Engine'!$A$4:$A$12,$C30,'Forecast Engine'!$B$4:$B$12,$D30)</f>
        <v/>
      </c>
      <c r="J30" s="14">
        <f>$H30*SUMIFS('Forecast Engine'!$AL$4:$AL$12,'Forecast Engine'!$A$4:$A$12,$C30,'Forecast Engine'!$B$4:$B$12,$D30)</f>
        <v/>
      </c>
      <c r="K30" s="14">
        <f>$H30*SUMIFS('Forecast Engine'!$AM$4:$AM$12,'Forecast Engine'!$A$4:$A$12,$C30,'Forecast Engine'!$B$4:$B$12,$D30)</f>
        <v/>
      </c>
      <c r="L30" s="43">
        <f>SUM(I30:K30)</f>
        <v/>
      </c>
    </row>
    <row r="31">
      <c r="A31" s="39" t="inlineStr">
        <is>
          <t>10100695</t>
        </is>
      </c>
      <c r="B31" s="39" t="inlineStr">
        <is>
          <t xml:space="preserve">ME Ubtan Natural Glow Face Wash With Turmeric &amp; </t>
        </is>
      </c>
      <c r="C31" s="40" t="inlineStr">
        <is>
          <t>Mamaearth</t>
        </is>
      </c>
      <c r="D31" s="40" t="inlineStr">
        <is>
          <t>Face</t>
        </is>
      </c>
      <c r="E31" s="39" t="inlineStr">
        <is>
          <t>D-Mart</t>
        </is>
      </c>
      <c r="F31" s="41" t="inlineStr">
        <is>
          <t>North</t>
        </is>
      </c>
      <c r="G31" s="42" t="n">
        <v>0.9923999999999999</v>
      </c>
      <c r="H31" s="16">
        <f>IFERROR(G31/SUMIFS($G$4:$G$1504,$C$4:$C$1504,$C31,$D$4:$D$1504,$D31),0)</f>
        <v/>
      </c>
      <c r="I31" s="14">
        <f>$H31*SUMIFS('Forecast Engine'!$AK$4:$AK$12,'Forecast Engine'!$A$4:$A$12,$C31,'Forecast Engine'!$B$4:$B$12,$D31)</f>
        <v/>
      </c>
      <c r="J31" s="14">
        <f>$H31*SUMIFS('Forecast Engine'!$AL$4:$AL$12,'Forecast Engine'!$A$4:$A$12,$C31,'Forecast Engine'!$B$4:$B$12,$D31)</f>
        <v/>
      </c>
      <c r="K31" s="14">
        <f>$H31*SUMIFS('Forecast Engine'!$AM$4:$AM$12,'Forecast Engine'!$A$4:$A$12,$C31,'Forecast Engine'!$B$4:$B$12,$D31)</f>
        <v/>
      </c>
      <c r="L31" s="43">
        <f>SUM(I31:K31)</f>
        <v/>
      </c>
    </row>
    <row r="32">
      <c r="A32" s="39" t="inlineStr">
        <is>
          <t>10101163</t>
        </is>
      </c>
      <c r="B32" s="39" t="inlineStr">
        <is>
          <t>Rice Dewy Bright Face wash</t>
        </is>
      </c>
      <c r="C32" s="40" t="inlineStr">
        <is>
          <t>Mamaearth</t>
        </is>
      </c>
      <c r="D32" s="40" t="inlineStr">
        <is>
          <t>Face</t>
        </is>
      </c>
      <c r="E32" s="39" t="inlineStr">
        <is>
          <t>Sri Vijaya Durga Agencie</t>
        </is>
      </c>
      <c r="F32" s="41" t="inlineStr">
        <is>
          <t>South-2</t>
        </is>
      </c>
      <c r="G32" s="42" t="n">
        <v>0.93</v>
      </c>
      <c r="H32" s="16">
        <f>IFERROR(G32/SUMIFS($G$4:$G$1504,$C$4:$C$1504,$C32,$D$4:$D$1504,$D32),0)</f>
        <v/>
      </c>
      <c r="I32" s="14">
        <f>$H32*SUMIFS('Forecast Engine'!$AK$4:$AK$12,'Forecast Engine'!$A$4:$A$12,$C32,'Forecast Engine'!$B$4:$B$12,$D32)</f>
        <v/>
      </c>
      <c r="J32" s="14">
        <f>$H32*SUMIFS('Forecast Engine'!$AL$4:$AL$12,'Forecast Engine'!$A$4:$A$12,$C32,'Forecast Engine'!$B$4:$B$12,$D32)</f>
        <v/>
      </c>
      <c r="K32" s="14">
        <f>$H32*SUMIFS('Forecast Engine'!$AM$4:$AM$12,'Forecast Engine'!$A$4:$A$12,$C32,'Forecast Engine'!$B$4:$B$12,$D32)</f>
        <v/>
      </c>
      <c r="L32" s="43">
        <f>SUM(I32:K32)</f>
        <v/>
      </c>
    </row>
    <row r="33">
      <c r="A33" s="39" t="inlineStr">
        <is>
          <t>10100695</t>
        </is>
      </c>
      <c r="B33" s="39" t="inlineStr">
        <is>
          <t xml:space="preserve">ME Ubtan Natural Glow Face Wash With Turmeric &amp; </t>
        </is>
      </c>
      <c r="C33" s="40" t="inlineStr">
        <is>
          <t>Mamaearth</t>
        </is>
      </c>
      <c r="D33" s="40" t="inlineStr">
        <is>
          <t>Face</t>
        </is>
      </c>
      <c r="E33" s="39" t="inlineStr">
        <is>
          <t>Reliance Retail Limited</t>
        </is>
      </c>
      <c r="F33" s="41" t="inlineStr">
        <is>
          <t>West</t>
        </is>
      </c>
      <c r="G33" s="42" t="n">
        <v>0.9157</v>
      </c>
      <c r="H33" s="16">
        <f>IFERROR(G33/SUMIFS($G$4:$G$1504,$C$4:$C$1504,$C33,$D$4:$D$1504,$D33),0)</f>
        <v/>
      </c>
      <c r="I33" s="14">
        <f>$H33*SUMIFS('Forecast Engine'!$AK$4:$AK$12,'Forecast Engine'!$A$4:$A$12,$C33,'Forecast Engine'!$B$4:$B$12,$D33)</f>
        <v/>
      </c>
      <c r="J33" s="14">
        <f>$H33*SUMIFS('Forecast Engine'!$AL$4:$AL$12,'Forecast Engine'!$A$4:$A$12,$C33,'Forecast Engine'!$B$4:$B$12,$D33)</f>
        <v/>
      </c>
      <c r="K33" s="14">
        <f>$H33*SUMIFS('Forecast Engine'!$AM$4:$AM$12,'Forecast Engine'!$A$4:$A$12,$C33,'Forecast Engine'!$B$4:$B$12,$D33)</f>
        <v/>
      </c>
      <c r="L33" s="43">
        <f>SUM(I33:K33)</f>
        <v/>
      </c>
    </row>
    <row r="34">
      <c r="A34" s="39" t="inlineStr"/>
      <c r="B34" s="39" t="inlineStr"/>
      <c r="C34" s="40" t="inlineStr">
        <is>
          <t>Mamaearth</t>
        </is>
      </c>
      <c r="D34" s="40" t="inlineStr">
        <is>
          <t>Face</t>
        </is>
      </c>
      <c r="E34" s="39" t="inlineStr">
        <is>
          <t>D.L. Sales - MT</t>
        </is>
      </c>
      <c r="F34" s="41" t="inlineStr">
        <is>
          <t>East</t>
        </is>
      </c>
      <c r="G34" s="42" t="n">
        <v>0.8395</v>
      </c>
      <c r="H34" s="16">
        <f>IFERROR(G34/SUMIFS($G$4:$G$1504,$C$4:$C$1504,$C34,$D$4:$D$1504,$D34),0)</f>
        <v/>
      </c>
      <c r="I34" s="14">
        <f>$H34*SUMIFS('Forecast Engine'!$AK$4:$AK$12,'Forecast Engine'!$A$4:$A$12,$C34,'Forecast Engine'!$B$4:$B$12,$D34)</f>
        <v/>
      </c>
      <c r="J34" s="14">
        <f>$H34*SUMIFS('Forecast Engine'!$AL$4:$AL$12,'Forecast Engine'!$A$4:$A$12,$C34,'Forecast Engine'!$B$4:$B$12,$D34)</f>
        <v/>
      </c>
      <c r="K34" s="14">
        <f>$H34*SUMIFS('Forecast Engine'!$AM$4:$AM$12,'Forecast Engine'!$A$4:$A$12,$C34,'Forecast Engine'!$B$4:$B$12,$D34)</f>
        <v/>
      </c>
      <c r="L34" s="43">
        <f>SUM(I34:K34)</f>
        <v/>
      </c>
    </row>
    <row r="35">
      <c r="A35" s="39" t="inlineStr">
        <is>
          <t>10100695</t>
        </is>
      </c>
      <c r="B35" s="39" t="inlineStr">
        <is>
          <t xml:space="preserve">ME Ubtan Natural Glow Face Wash With Turmeric &amp; </t>
        </is>
      </c>
      <c r="C35" s="40" t="inlineStr">
        <is>
          <t>Mamaearth</t>
        </is>
      </c>
      <c r="D35" s="40" t="inlineStr">
        <is>
          <t>Face</t>
        </is>
      </c>
      <c r="E35" s="39" t="inlineStr">
        <is>
          <t>JUST MARK-Dmart</t>
        </is>
      </c>
      <c r="F35" s="41" t="inlineStr">
        <is>
          <t>West</t>
        </is>
      </c>
      <c r="G35" s="42" t="n">
        <v>0.8389</v>
      </c>
      <c r="H35" s="16">
        <f>IFERROR(G35/SUMIFS($G$4:$G$1504,$C$4:$C$1504,$C35,$D$4:$D$1504,$D35),0)</f>
        <v/>
      </c>
      <c r="I35" s="14">
        <f>$H35*SUMIFS('Forecast Engine'!$AK$4:$AK$12,'Forecast Engine'!$A$4:$A$12,$C35,'Forecast Engine'!$B$4:$B$12,$D35)</f>
        <v/>
      </c>
      <c r="J35" s="14">
        <f>$H35*SUMIFS('Forecast Engine'!$AL$4:$AL$12,'Forecast Engine'!$A$4:$A$12,$C35,'Forecast Engine'!$B$4:$B$12,$D35)</f>
        <v/>
      </c>
      <c r="K35" s="14">
        <f>$H35*SUMIFS('Forecast Engine'!$AM$4:$AM$12,'Forecast Engine'!$A$4:$A$12,$C35,'Forecast Engine'!$B$4:$B$12,$D35)</f>
        <v/>
      </c>
      <c r="L35" s="43">
        <f>SUM(I35:K35)</f>
        <v/>
      </c>
    </row>
    <row r="36">
      <c r="A36" s="39" t="inlineStr">
        <is>
          <t>10101163</t>
        </is>
      </c>
      <c r="B36" s="39" t="inlineStr">
        <is>
          <t>Rice Dewy Bright Face wash</t>
        </is>
      </c>
      <c r="C36" s="40" t="inlineStr">
        <is>
          <t>Mamaearth</t>
        </is>
      </c>
      <c r="D36" s="40" t="inlineStr">
        <is>
          <t>Face</t>
        </is>
      </c>
      <c r="E36" s="39" t="inlineStr">
        <is>
          <t>Reliance Retail Limited</t>
        </is>
      </c>
      <c r="F36" s="41" t="inlineStr">
        <is>
          <t>West</t>
        </is>
      </c>
      <c r="G36" s="42" t="n">
        <v>0.8314</v>
      </c>
      <c r="H36" s="16">
        <f>IFERROR(G36/SUMIFS($G$4:$G$1504,$C$4:$C$1504,$C36,$D$4:$D$1504,$D36),0)</f>
        <v/>
      </c>
      <c r="I36" s="14">
        <f>$H36*SUMIFS('Forecast Engine'!$AK$4:$AK$12,'Forecast Engine'!$A$4:$A$12,$C36,'Forecast Engine'!$B$4:$B$12,$D36)</f>
        <v/>
      </c>
      <c r="J36" s="14">
        <f>$H36*SUMIFS('Forecast Engine'!$AL$4:$AL$12,'Forecast Engine'!$A$4:$A$12,$C36,'Forecast Engine'!$B$4:$B$12,$D36)</f>
        <v/>
      </c>
      <c r="K36" s="14">
        <f>$H36*SUMIFS('Forecast Engine'!$AM$4:$AM$12,'Forecast Engine'!$A$4:$A$12,$C36,'Forecast Engine'!$B$4:$B$12,$D36)</f>
        <v/>
      </c>
      <c r="L36" s="43">
        <f>SUM(I36:K36)</f>
        <v/>
      </c>
    </row>
    <row r="37">
      <c r="A37" s="39" t="inlineStr"/>
      <c r="B37" s="39" t="inlineStr"/>
      <c r="C37" s="40" t="inlineStr">
        <is>
          <t>Mamaearth</t>
        </is>
      </c>
      <c r="D37" s="40" t="inlineStr">
        <is>
          <t>Face</t>
        </is>
      </c>
      <c r="E37" s="39" t="inlineStr">
        <is>
          <t xml:space="preserve">Sancus Networks Private </t>
        </is>
      </c>
      <c r="F37" s="41" t="inlineStr">
        <is>
          <t>North</t>
        </is>
      </c>
      <c r="G37" s="42" t="n">
        <v>0.8184</v>
      </c>
      <c r="H37" s="16">
        <f>IFERROR(G37/SUMIFS($G$4:$G$1504,$C$4:$C$1504,$C37,$D$4:$D$1504,$D37),0)</f>
        <v/>
      </c>
      <c r="I37" s="14">
        <f>$H37*SUMIFS('Forecast Engine'!$AK$4:$AK$12,'Forecast Engine'!$A$4:$A$12,$C37,'Forecast Engine'!$B$4:$B$12,$D37)</f>
        <v/>
      </c>
      <c r="J37" s="14">
        <f>$H37*SUMIFS('Forecast Engine'!$AL$4:$AL$12,'Forecast Engine'!$A$4:$A$12,$C37,'Forecast Engine'!$B$4:$B$12,$D37)</f>
        <v/>
      </c>
      <c r="K37" s="14">
        <f>$H37*SUMIFS('Forecast Engine'!$AM$4:$AM$12,'Forecast Engine'!$A$4:$A$12,$C37,'Forecast Engine'!$B$4:$B$12,$D37)</f>
        <v/>
      </c>
      <c r="L37" s="43">
        <f>SUM(I37:K37)</f>
        <v/>
      </c>
    </row>
    <row r="38">
      <c r="A38" s="39" t="inlineStr"/>
      <c r="B38" s="39" t="inlineStr"/>
      <c r="C38" s="40" t="inlineStr">
        <is>
          <t>Mamaearth</t>
        </is>
      </c>
      <c r="D38" s="40" t="inlineStr">
        <is>
          <t>Face</t>
        </is>
      </c>
      <c r="E38" s="39" t="inlineStr">
        <is>
          <t>Balaji Associates Distri</t>
        </is>
      </c>
      <c r="F38" s="41" t="inlineStr">
        <is>
          <t>East</t>
        </is>
      </c>
      <c r="G38" s="42" t="n">
        <v>0.7827</v>
      </c>
      <c r="H38" s="16">
        <f>IFERROR(G38/SUMIFS($G$4:$G$1504,$C$4:$C$1504,$C38,$D$4:$D$1504,$D38),0)</f>
        <v/>
      </c>
      <c r="I38" s="14">
        <f>$H38*SUMIFS('Forecast Engine'!$AK$4:$AK$12,'Forecast Engine'!$A$4:$A$12,$C38,'Forecast Engine'!$B$4:$B$12,$D38)</f>
        <v/>
      </c>
      <c r="J38" s="14">
        <f>$H38*SUMIFS('Forecast Engine'!$AL$4:$AL$12,'Forecast Engine'!$A$4:$A$12,$C38,'Forecast Engine'!$B$4:$B$12,$D38)</f>
        <v/>
      </c>
      <c r="K38" s="14">
        <f>$H38*SUMIFS('Forecast Engine'!$AM$4:$AM$12,'Forecast Engine'!$A$4:$A$12,$C38,'Forecast Engine'!$B$4:$B$12,$D38)</f>
        <v/>
      </c>
      <c r="L38" s="43">
        <f>SUM(I38:K38)</f>
        <v/>
      </c>
    </row>
    <row r="39">
      <c r="A39" s="39" t="inlineStr">
        <is>
          <t>10101163</t>
        </is>
      </c>
      <c r="B39" s="39" t="inlineStr">
        <is>
          <t>Rice Dewy Bright Face wash</t>
        </is>
      </c>
      <c r="C39" s="40" t="inlineStr">
        <is>
          <t>Mamaearth</t>
        </is>
      </c>
      <c r="D39" s="40" t="inlineStr">
        <is>
          <t>Face</t>
        </is>
      </c>
      <c r="E39" s="39" t="inlineStr">
        <is>
          <t>Apollo Healthco</t>
        </is>
      </c>
      <c r="F39" s="41" t="inlineStr">
        <is>
          <t>South-2</t>
        </is>
      </c>
      <c r="G39" s="42" t="n">
        <v>0.7147</v>
      </c>
      <c r="H39" s="16">
        <f>IFERROR(G39/SUMIFS($G$4:$G$1504,$C$4:$C$1504,$C39,$D$4:$D$1504,$D39),0)</f>
        <v/>
      </c>
      <c r="I39" s="14">
        <f>$H39*SUMIFS('Forecast Engine'!$AK$4:$AK$12,'Forecast Engine'!$A$4:$A$12,$C39,'Forecast Engine'!$B$4:$B$12,$D39)</f>
        <v/>
      </c>
      <c r="J39" s="14">
        <f>$H39*SUMIFS('Forecast Engine'!$AL$4:$AL$12,'Forecast Engine'!$A$4:$A$12,$C39,'Forecast Engine'!$B$4:$B$12,$D39)</f>
        <v/>
      </c>
      <c r="K39" s="14">
        <f>$H39*SUMIFS('Forecast Engine'!$AM$4:$AM$12,'Forecast Engine'!$A$4:$A$12,$C39,'Forecast Engine'!$B$4:$B$12,$D39)</f>
        <v/>
      </c>
      <c r="L39" s="43">
        <f>SUM(I39:K39)</f>
        <v/>
      </c>
    </row>
    <row r="40">
      <c r="A40" s="39" t="inlineStr"/>
      <c r="B40" s="39" t="inlineStr"/>
      <c r="C40" s="40" t="inlineStr">
        <is>
          <t>Mamaearth</t>
        </is>
      </c>
      <c r="D40" s="40" t="inlineStr">
        <is>
          <t>Face</t>
        </is>
      </c>
      <c r="E40" s="39" t="inlineStr">
        <is>
          <t>Apollo Healthco</t>
        </is>
      </c>
      <c r="F40" s="41" t="inlineStr">
        <is>
          <t>South-2</t>
        </is>
      </c>
      <c r="G40" s="42" t="n">
        <v>0.7005</v>
      </c>
      <c r="H40" s="16">
        <f>IFERROR(G40/SUMIFS($G$4:$G$1504,$C$4:$C$1504,$C40,$D$4:$D$1504,$D40),0)</f>
        <v/>
      </c>
      <c r="I40" s="14">
        <f>$H40*SUMIFS('Forecast Engine'!$AK$4:$AK$12,'Forecast Engine'!$A$4:$A$12,$C40,'Forecast Engine'!$B$4:$B$12,$D40)</f>
        <v/>
      </c>
      <c r="J40" s="14">
        <f>$H40*SUMIFS('Forecast Engine'!$AL$4:$AL$12,'Forecast Engine'!$A$4:$A$12,$C40,'Forecast Engine'!$B$4:$B$12,$D40)</f>
        <v/>
      </c>
      <c r="K40" s="14">
        <f>$H40*SUMIFS('Forecast Engine'!$AM$4:$AM$12,'Forecast Engine'!$A$4:$A$12,$C40,'Forecast Engine'!$B$4:$B$12,$D40)</f>
        <v/>
      </c>
      <c r="L40" s="43">
        <f>SUM(I40:K40)</f>
        <v/>
      </c>
    </row>
    <row r="41">
      <c r="A41" s="39" t="inlineStr"/>
      <c r="B41" s="39" t="inlineStr"/>
      <c r="C41" s="40" t="inlineStr">
        <is>
          <t>Mamaearth</t>
        </is>
      </c>
      <c r="D41" s="40" t="inlineStr">
        <is>
          <t>Face</t>
        </is>
      </c>
      <c r="E41" s="39" t="inlineStr">
        <is>
          <t>VISHAL ENTERPRISES</t>
        </is>
      </c>
      <c r="F41" s="41" t="inlineStr">
        <is>
          <t>West</t>
        </is>
      </c>
      <c r="G41" s="42" t="n">
        <v>0.7003</v>
      </c>
      <c r="H41" s="16">
        <f>IFERROR(G41/SUMIFS($G$4:$G$1504,$C$4:$C$1504,$C41,$D$4:$D$1504,$D41),0)</f>
        <v/>
      </c>
      <c r="I41" s="14">
        <f>$H41*SUMIFS('Forecast Engine'!$AK$4:$AK$12,'Forecast Engine'!$A$4:$A$12,$C41,'Forecast Engine'!$B$4:$B$12,$D41)</f>
        <v/>
      </c>
      <c r="J41" s="14">
        <f>$H41*SUMIFS('Forecast Engine'!$AL$4:$AL$12,'Forecast Engine'!$A$4:$A$12,$C41,'Forecast Engine'!$B$4:$B$12,$D41)</f>
        <v/>
      </c>
      <c r="K41" s="14">
        <f>$H41*SUMIFS('Forecast Engine'!$AM$4:$AM$12,'Forecast Engine'!$A$4:$A$12,$C41,'Forecast Engine'!$B$4:$B$12,$D41)</f>
        <v/>
      </c>
      <c r="L41" s="43">
        <f>SUM(I41:K41)</f>
        <v/>
      </c>
    </row>
    <row r="42">
      <c r="A42" s="39" t="inlineStr"/>
      <c r="B42" s="39" t="inlineStr"/>
      <c r="C42" s="40" t="inlineStr">
        <is>
          <t>Mamaearth</t>
        </is>
      </c>
      <c r="D42" s="40" t="inlineStr">
        <is>
          <t>Face</t>
        </is>
      </c>
      <c r="E42" s="39" t="inlineStr">
        <is>
          <t>Apollo Healthco</t>
        </is>
      </c>
      <c r="F42" s="41" t="inlineStr">
        <is>
          <t>East</t>
        </is>
      </c>
      <c r="G42" s="42" t="n">
        <v>0.6787</v>
      </c>
      <c r="H42" s="16">
        <f>IFERROR(G42/SUMIFS($G$4:$G$1504,$C$4:$C$1504,$C42,$D$4:$D$1504,$D42),0)</f>
        <v/>
      </c>
      <c r="I42" s="14">
        <f>$H42*SUMIFS('Forecast Engine'!$AK$4:$AK$12,'Forecast Engine'!$A$4:$A$12,$C42,'Forecast Engine'!$B$4:$B$12,$D42)</f>
        <v/>
      </c>
      <c r="J42" s="14">
        <f>$H42*SUMIFS('Forecast Engine'!$AL$4:$AL$12,'Forecast Engine'!$A$4:$A$12,$C42,'Forecast Engine'!$B$4:$B$12,$D42)</f>
        <v/>
      </c>
      <c r="K42" s="14">
        <f>$H42*SUMIFS('Forecast Engine'!$AM$4:$AM$12,'Forecast Engine'!$A$4:$A$12,$C42,'Forecast Engine'!$B$4:$B$12,$D42)</f>
        <v/>
      </c>
      <c r="L42" s="43">
        <f>SUM(I42:K42)</f>
        <v/>
      </c>
    </row>
    <row r="43">
      <c r="A43" s="39" t="inlineStr">
        <is>
          <t>10100618</t>
        </is>
      </c>
      <c r="B43" s="39" t="inlineStr">
        <is>
          <t>Rice Face Wash 100 ml</t>
        </is>
      </c>
      <c r="C43" s="40" t="inlineStr">
        <is>
          <t>Mamaearth</t>
        </is>
      </c>
      <c r="D43" s="40" t="inlineStr">
        <is>
          <t>Face</t>
        </is>
      </c>
      <c r="E43" s="39" t="inlineStr">
        <is>
          <t>Sri Vijaya Durga Agencie</t>
        </is>
      </c>
      <c r="F43" s="41" t="inlineStr">
        <is>
          <t>South-2</t>
        </is>
      </c>
      <c r="G43" s="42" t="n">
        <v>0.6773</v>
      </c>
      <c r="H43" s="16">
        <f>IFERROR(G43/SUMIFS($G$4:$G$1504,$C$4:$C$1504,$C43,$D$4:$D$1504,$D43),0)</f>
        <v/>
      </c>
      <c r="I43" s="14">
        <f>$H43*SUMIFS('Forecast Engine'!$AK$4:$AK$12,'Forecast Engine'!$A$4:$A$12,$C43,'Forecast Engine'!$B$4:$B$12,$D43)</f>
        <v/>
      </c>
      <c r="J43" s="14">
        <f>$H43*SUMIFS('Forecast Engine'!$AL$4:$AL$12,'Forecast Engine'!$A$4:$A$12,$C43,'Forecast Engine'!$B$4:$B$12,$D43)</f>
        <v/>
      </c>
      <c r="K43" s="14">
        <f>$H43*SUMIFS('Forecast Engine'!$AM$4:$AM$12,'Forecast Engine'!$A$4:$A$12,$C43,'Forecast Engine'!$B$4:$B$12,$D43)</f>
        <v/>
      </c>
      <c r="L43" s="43">
        <f>SUM(I43:K43)</f>
        <v/>
      </c>
    </row>
    <row r="44">
      <c r="A44" s="39" t="inlineStr">
        <is>
          <t>10100695</t>
        </is>
      </c>
      <c r="B44" s="39" t="inlineStr">
        <is>
          <t xml:space="preserve">ME Ubtan Natural Glow Face Wash With Turmeric &amp; </t>
        </is>
      </c>
      <c r="C44" s="40" t="inlineStr">
        <is>
          <t>Mamaearth</t>
        </is>
      </c>
      <c r="D44" s="40" t="inlineStr">
        <is>
          <t>Face</t>
        </is>
      </c>
      <c r="E44" s="39" t="inlineStr">
        <is>
          <t>Kiran Trading Company</t>
        </is>
      </c>
      <c r="F44" s="41" t="inlineStr">
        <is>
          <t>West</t>
        </is>
      </c>
      <c r="G44" s="42" t="n">
        <v>0.6715</v>
      </c>
      <c r="H44" s="16">
        <f>IFERROR(G44/SUMIFS($G$4:$G$1504,$C$4:$C$1504,$C44,$D$4:$D$1504,$D44),0)</f>
        <v/>
      </c>
      <c r="I44" s="14">
        <f>$H44*SUMIFS('Forecast Engine'!$AK$4:$AK$12,'Forecast Engine'!$A$4:$A$12,$C44,'Forecast Engine'!$B$4:$B$12,$D44)</f>
        <v/>
      </c>
      <c r="J44" s="14">
        <f>$H44*SUMIFS('Forecast Engine'!$AL$4:$AL$12,'Forecast Engine'!$A$4:$A$12,$C44,'Forecast Engine'!$B$4:$B$12,$D44)</f>
        <v/>
      </c>
      <c r="K44" s="14">
        <f>$H44*SUMIFS('Forecast Engine'!$AM$4:$AM$12,'Forecast Engine'!$A$4:$A$12,$C44,'Forecast Engine'!$B$4:$B$12,$D44)</f>
        <v/>
      </c>
      <c r="L44" s="43">
        <f>SUM(I44:K44)</f>
        <v/>
      </c>
    </row>
    <row r="45">
      <c r="A45" s="39" t="inlineStr">
        <is>
          <t>10100062</t>
        </is>
      </c>
      <c r="B45" s="39" t="inlineStr">
        <is>
          <t>Mamaearth Ultra Light Indian Sunscreen with Carr</t>
        </is>
      </c>
      <c r="C45" s="40" t="inlineStr">
        <is>
          <t>Mamaearth</t>
        </is>
      </c>
      <c r="D45" s="40" t="inlineStr">
        <is>
          <t>Face</t>
        </is>
      </c>
      <c r="E45" s="39" t="inlineStr">
        <is>
          <t>Kiran Trading Company</t>
        </is>
      </c>
      <c r="F45" s="41" t="inlineStr">
        <is>
          <t>West</t>
        </is>
      </c>
      <c r="G45" s="42" t="n">
        <v>0.6546</v>
      </c>
      <c r="H45" s="16">
        <f>IFERROR(G45/SUMIFS($G$4:$G$1504,$C$4:$C$1504,$C45,$D$4:$D$1504,$D45),0)</f>
        <v/>
      </c>
      <c r="I45" s="14">
        <f>$H45*SUMIFS('Forecast Engine'!$AK$4:$AK$12,'Forecast Engine'!$A$4:$A$12,$C45,'Forecast Engine'!$B$4:$B$12,$D45)</f>
        <v/>
      </c>
      <c r="J45" s="14">
        <f>$H45*SUMIFS('Forecast Engine'!$AL$4:$AL$12,'Forecast Engine'!$A$4:$A$12,$C45,'Forecast Engine'!$B$4:$B$12,$D45)</f>
        <v/>
      </c>
      <c r="K45" s="14">
        <f>$H45*SUMIFS('Forecast Engine'!$AM$4:$AM$12,'Forecast Engine'!$A$4:$A$12,$C45,'Forecast Engine'!$B$4:$B$12,$D45)</f>
        <v/>
      </c>
      <c r="L45" s="43">
        <f>SUM(I45:K45)</f>
        <v/>
      </c>
    </row>
    <row r="46">
      <c r="A46" s="39" t="inlineStr"/>
      <c r="B46" s="39" t="inlineStr"/>
      <c r="C46" s="40" t="inlineStr">
        <is>
          <t>Mamaearth</t>
        </is>
      </c>
      <c r="D46" s="40" t="inlineStr">
        <is>
          <t>Face</t>
        </is>
      </c>
      <c r="E46" s="39" t="inlineStr">
        <is>
          <t>M/S KOTTARAM BUSINESS</t>
        </is>
      </c>
      <c r="F46" s="41" t="inlineStr">
        <is>
          <t>South-1</t>
        </is>
      </c>
      <c r="G46" s="42" t="n">
        <v>0.6518</v>
      </c>
      <c r="H46" s="16">
        <f>IFERROR(G46/SUMIFS($G$4:$G$1504,$C$4:$C$1504,$C46,$D$4:$D$1504,$D46),0)</f>
        <v/>
      </c>
      <c r="I46" s="14">
        <f>$H46*SUMIFS('Forecast Engine'!$AK$4:$AK$12,'Forecast Engine'!$A$4:$A$12,$C46,'Forecast Engine'!$B$4:$B$12,$D46)</f>
        <v/>
      </c>
      <c r="J46" s="14">
        <f>$H46*SUMIFS('Forecast Engine'!$AL$4:$AL$12,'Forecast Engine'!$A$4:$A$12,$C46,'Forecast Engine'!$B$4:$B$12,$D46)</f>
        <v/>
      </c>
      <c r="K46" s="14">
        <f>$H46*SUMIFS('Forecast Engine'!$AM$4:$AM$12,'Forecast Engine'!$A$4:$A$12,$C46,'Forecast Engine'!$B$4:$B$12,$D46)</f>
        <v/>
      </c>
      <c r="L46" s="43">
        <f>SUM(I46:K46)</f>
        <v/>
      </c>
    </row>
    <row r="47">
      <c r="A47" s="39" t="inlineStr">
        <is>
          <t>10101163</t>
        </is>
      </c>
      <c r="B47" s="39" t="inlineStr">
        <is>
          <t>Rice Dewy Bright Face wash</t>
        </is>
      </c>
      <c r="C47" s="40" t="inlineStr">
        <is>
          <t>Mamaearth</t>
        </is>
      </c>
      <c r="D47" s="40" t="inlineStr">
        <is>
          <t>Face</t>
        </is>
      </c>
      <c r="E47" s="39" t="inlineStr">
        <is>
          <t>D-Mart</t>
        </is>
      </c>
      <c r="F47" s="41" t="inlineStr">
        <is>
          <t>South-1</t>
        </is>
      </c>
      <c r="G47" s="42" t="n">
        <v>0.6223</v>
      </c>
      <c r="H47" s="16">
        <f>IFERROR(G47/SUMIFS($G$4:$G$1504,$C$4:$C$1504,$C47,$D$4:$D$1504,$D47),0)</f>
        <v/>
      </c>
      <c r="I47" s="14">
        <f>$H47*SUMIFS('Forecast Engine'!$AK$4:$AK$12,'Forecast Engine'!$A$4:$A$12,$C47,'Forecast Engine'!$B$4:$B$12,$D47)</f>
        <v/>
      </c>
      <c r="J47" s="14">
        <f>$H47*SUMIFS('Forecast Engine'!$AL$4:$AL$12,'Forecast Engine'!$A$4:$A$12,$C47,'Forecast Engine'!$B$4:$B$12,$D47)</f>
        <v/>
      </c>
      <c r="K47" s="14">
        <f>$H47*SUMIFS('Forecast Engine'!$AM$4:$AM$12,'Forecast Engine'!$A$4:$A$12,$C47,'Forecast Engine'!$B$4:$B$12,$D47)</f>
        <v/>
      </c>
      <c r="L47" s="43">
        <f>SUM(I47:K47)</f>
        <v/>
      </c>
    </row>
    <row r="48">
      <c r="A48" s="39" t="inlineStr"/>
      <c r="B48" s="39" t="inlineStr"/>
      <c r="C48" s="40" t="inlineStr">
        <is>
          <t>Mamaearth</t>
        </is>
      </c>
      <c r="D48" s="40" t="inlineStr">
        <is>
          <t>Face</t>
        </is>
      </c>
      <c r="E48" s="39" t="inlineStr">
        <is>
          <t>JUST MARK-D-Mart</t>
        </is>
      </c>
      <c r="F48" s="41" t="inlineStr">
        <is>
          <t>West</t>
        </is>
      </c>
      <c r="G48" s="42" t="n">
        <v>0.6147</v>
      </c>
      <c r="H48" s="16">
        <f>IFERROR(G48/SUMIFS($G$4:$G$1504,$C$4:$C$1504,$C48,$D$4:$D$1504,$D48),0)</f>
        <v/>
      </c>
      <c r="I48" s="14">
        <f>$H48*SUMIFS('Forecast Engine'!$AK$4:$AK$12,'Forecast Engine'!$A$4:$A$12,$C48,'Forecast Engine'!$B$4:$B$12,$D48)</f>
        <v/>
      </c>
      <c r="J48" s="14">
        <f>$H48*SUMIFS('Forecast Engine'!$AL$4:$AL$12,'Forecast Engine'!$A$4:$A$12,$C48,'Forecast Engine'!$B$4:$B$12,$D48)</f>
        <v/>
      </c>
      <c r="K48" s="14">
        <f>$H48*SUMIFS('Forecast Engine'!$AM$4:$AM$12,'Forecast Engine'!$A$4:$A$12,$C48,'Forecast Engine'!$B$4:$B$12,$D48)</f>
        <v/>
      </c>
      <c r="L48" s="43">
        <f>SUM(I48:K48)</f>
        <v/>
      </c>
    </row>
    <row r="49">
      <c r="A49" s="39" t="inlineStr">
        <is>
          <t>10100062</t>
        </is>
      </c>
      <c r="B49" s="39" t="inlineStr">
        <is>
          <t>Mamaearth Ultra Light Indian Sunscreen with Carr</t>
        </is>
      </c>
      <c r="C49" s="40" t="inlineStr">
        <is>
          <t>Mamaearth</t>
        </is>
      </c>
      <c r="D49" s="40" t="inlineStr">
        <is>
          <t>Face</t>
        </is>
      </c>
      <c r="E49" s="39" t="inlineStr">
        <is>
          <t>JUST MARK-Dmart</t>
        </is>
      </c>
      <c r="F49" s="41" t="inlineStr">
        <is>
          <t>West</t>
        </is>
      </c>
      <c r="G49" s="42" t="n">
        <v>0.605</v>
      </c>
      <c r="H49" s="16">
        <f>IFERROR(G49/SUMIFS($G$4:$G$1504,$C$4:$C$1504,$C49,$D$4:$D$1504,$D49),0)</f>
        <v/>
      </c>
      <c r="I49" s="14">
        <f>$H49*SUMIFS('Forecast Engine'!$AK$4:$AK$12,'Forecast Engine'!$A$4:$A$12,$C49,'Forecast Engine'!$B$4:$B$12,$D49)</f>
        <v/>
      </c>
      <c r="J49" s="14">
        <f>$H49*SUMIFS('Forecast Engine'!$AL$4:$AL$12,'Forecast Engine'!$A$4:$A$12,$C49,'Forecast Engine'!$B$4:$B$12,$D49)</f>
        <v/>
      </c>
      <c r="K49" s="14">
        <f>$H49*SUMIFS('Forecast Engine'!$AM$4:$AM$12,'Forecast Engine'!$A$4:$A$12,$C49,'Forecast Engine'!$B$4:$B$12,$D49)</f>
        <v/>
      </c>
      <c r="L49" s="43">
        <f>SUM(I49:K49)</f>
        <v/>
      </c>
    </row>
    <row r="50">
      <c r="A50" s="39" t="inlineStr">
        <is>
          <t>10101163</t>
        </is>
      </c>
      <c r="B50" s="39" t="inlineStr">
        <is>
          <t>Rice Dewy Bright Face wash</t>
        </is>
      </c>
      <c r="C50" s="40" t="inlineStr">
        <is>
          <t>Mamaearth</t>
        </is>
      </c>
      <c r="D50" s="40" t="inlineStr">
        <is>
          <t>Face</t>
        </is>
      </c>
      <c r="E50" s="39" t="inlineStr">
        <is>
          <t>D-Mart</t>
        </is>
      </c>
      <c r="F50" s="41" t="inlineStr">
        <is>
          <t>South-2</t>
        </is>
      </c>
      <c r="G50" s="42" t="n">
        <v>0.5983000000000001</v>
      </c>
      <c r="H50" s="16">
        <f>IFERROR(G50/SUMIFS($G$4:$G$1504,$C$4:$C$1504,$C50,$D$4:$D$1504,$D50),0)</f>
        <v/>
      </c>
      <c r="I50" s="14">
        <f>$H50*SUMIFS('Forecast Engine'!$AK$4:$AK$12,'Forecast Engine'!$A$4:$A$12,$C50,'Forecast Engine'!$B$4:$B$12,$D50)</f>
        <v/>
      </c>
      <c r="J50" s="14">
        <f>$H50*SUMIFS('Forecast Engine'!$AL$4:$AL$12,'Forecast Engine'!$A$4:$A$12,$C50,'Forecast Engine'!$B$4:$B$12,$D50)</f>
        <v/>
      </c>
      <c r="K50" s="14">
        <f>$H50*SUMIFS('Forecast Engine'!$AM$4:$AM$12,'Forecast Engine'!$A$4:$A$12,$C50,'Forecast Engine'!$B$4:$B$12,$D50)</f>
        <v/>
      </c>
      <c r="L50" s="43">
        <f>SUM(I50:K50)</f>
        <v/>
      </c>
    </row>
    <row r="51">
      <c r="A51" s="39" t="inlineStr"/>
      <c r="B51" s="39" t="inlineStr"/>
      <c r="C51" s="40" t="inlineStr">
        <is>
          <t>Mamaearth</t>
        </is>
      </c>
      <c r="D51" s="40" t="inlineStr">
        <is>
          <t>Face</t>
        </is>
      </c>
      <c r="E51" s="39" t="inlineStr">
        <is>
          <t>Apollo Healthco</t>
        </is>
      </c>
      <c r="F51" s="41" t="inlineStr">
        <is>
          <t>West</t>
        </is>
      </c>
      <c r="G51" s="42" t="n">
        <v>0.5562</v>
      </c>
      <c r="H51" s="16">
        <f>IFERROR(G51/SUMIFS($G$4:$G$1504,$C$4:$C$1504,$C51,$D$4:$D$1504,$D51),0)</f>
        <v/>
      </c>
      <c r="I51" s="14">
        <f>$H51*SUMIFS('Forecast Engine'!$AK$4:$AK$12,'Forecast Engine'!$A$4:$A$12,$C51,'Forecast Engine'!$B$4:$B$12,$D51)</f>
        <v/>
      </c>
      <c r="J51" s="14">
        <f>$H51*SUMIFS('Forecast Engine'!$AL$4:$AL$12,'Forecast Engine'!$A$4:$A$12,$C51,'Forecast Engine'!$B$4:$B$12,$D51)</f>
        <v/>
      </c>
      <c r="K51" s="14">
        <f>$H51*SUMIFS('Forecast Engine'!$AM$4:$AM$12,'Forecast Engine'!$A$4:$A$12,$C51,'Forecast Engine'!$B$4:$B$12,$D51)</f>
        <v/>
      </c>
      <c r="L51" s="43">
        <f>SUM(I51:K51)</f>
        <v/>
      </c>
    </row>
    <row r="52">
      <c r="A52" s="39" t="inlineStr"/>
      <c r="B52" s="39" t="inlineStr"/>
      <c r="C52" s="40" t="inlineStr">
        <is>
          <t>Mamaearth</t>
        </is>
      </c>
      <c r="D52" s="40" t="inlineStr">
        <is>
          <t>Face</t>
        </is>
      </c>
      <c r="E52" s="39" t="inlineStr">
        <is>
          <t>Nykaa E-Retail Limited</t>
        </is>
      </c>
      <c r="F52" s="41" t="inlineStr">
        <is>
          <t>South-1</t>
        </is>
      </c>
      <c r="G52" s="42" t="n">
        <v>0.5423</v>
      </c>
      <c r="H52" s="16">
        <f>IFERROR(G52/SUMIFS($G$4:$G$1504,$C$4:$C$1504,$C52,$D$4:$D$1504,$D52),0)</f>
        <v/>
      </c>
      <c r="I52" s="14">
        <f>$H52*SUMIFS('Forecast Engine'!$AK$4:$AK$12,'Forecast Engine'!$A$4:$A$12,$C52,'Forecast Engine'!$B$4:$B$12,$D52)</f>
        <v/>
      </c>
      <c r="J52" s="14">
        <f>$H52*SUMIFS('Forecast Engine'!$AL$4:$AL$12,'Forecast Engine'!$A$4:$A$12,$C52,'Forecast Engine'!$B$4:$B$12,$D52)</f>
        <v/>
      </c>
      <c r="K52" s="14">
        <f>$H52*SUMIFS('Forecast Engine'!$AM$4:$AM$12,'Forecast Engine'!$A$4:$A$12,$C52,'Forecast Engine'!$B$4:$B$12,$D52)</f>
        <v/>
      </c>
      <c r="L52" s="43">
        <f>SUM(I52:K52)</f>
        <v/>
      </c>
    </row>
    <row r="53">
      <c r="A53" s="39" t="inlineStr"/>
      <c r="B53" s="39" t="inlineStr"/>
      <c r="C53" s="40" t="inlineStr">
        <is>
          <t>Mamaearth</t>
        </is>
      </c>
      <c r="D53" s="40" t="inlineStr">
        <is>
          <t>Face</t>
        </is>
      </c>
      <c r="E53" s="39" t="inlineStr">
        <is>
          <t>Wellness Forever</t>
        </is>
      </c>
      <c r="F53" s="41" t="inlineStr">
        <is>
          <t>West</t>
        </is>
      </c>
      <c r="G53" s="42" t="n">
        <v>0.537</v>
      </c>
      <c r="H53" s="16">
        <f>IFERROR(G53/SUMIFS($G$4:$G$1504,$C$4:$C$1504,$C53,$D$4:$D$1504,$D53),0)</f>
        <v/>
      </c>
      <c r="I53" s="14">
        <f>$H53*SUMIFS('Forecast Engine'!$AK$4:$AK$12,'Forecast Engine'!$A$4:$A$12,$C53,'Forecast Engine'!$B$4:$B$12,$D53)</f>
        <v/>
      </c>
      <c r="J53" s="14">
        <f>$H53*SUMIFS('Forecast Engine'!$AL$4:$AL$12,'Forecast Engine'!$A$4:$A$12,$C53,'Forecast Engine'!$B$4:$B$12,$D53)</f>
        <v/>
      </c>
      <c r="K53" s="14">
        <f>$H53*SUMIFS('Forecast Engine'!$AM$4:$AM$12,'Forecast Engine'!$A$4:$A$12,$C53,'Forecast Engine'!$B$4:$B$12,$D53)</f>
        <v/>
      </c>
      <c r="L53" s="43">
        <f>SUM(I53:K53)</f>
        <v/>
      </c>
    </row>
    <row r="54">
      <c r="A54" s="39" t="inlineStr">
        <is>
          <t>10100695</t>
        </is>
      </c>
      <c r="B54" s="39" t="inlineStr">
        <is>
          <t xml:space="preserve">ME Ubtan Natural Glow Face Wash With Turmeric &amp; </t>
        </is>
      </c>
      <c r="C54" s="40" t="inlineStr">
        <is>
          <t>Mamaearth</t>
        </is>
      </c>
      <c r="D54" s="40" t="inlineStr">
        <is>
          <t>Face</t>
        </is>
      </c>
      <c r="E54" s="39" t="inlineStr">
        <is>
          <t>Reliance Retail Limited</t>
        </is>
      </c>
      <c r="F54" s="41" t="inlineStr">
        <is>
          <t>South-1</t>
        </is>
      </c>
      <c r="G54" s="42" t="n">
        <v>0.5246</v>
      </c>
      <c r="H54" s="16">
        <f>IFERROR(G54/SUMIFS($G$4:$G$1504,$C$4:$C$1504,$C54,$D$4:$D$1504,$D54),0)</f>
        <v/>
      </c>
      <c r="I54" s="14">
        <f>$H54*SUMIFS('Forecast Engine'!$AK$4:$AK$12,'Forecast Engine'!$A$4:$A$12,$C54,'Forecast Engine'!$B$4:$B$12,$D54)</f>
        <v/>
      </c>
      <c r="J54" s="14">
        <f>$H54*SUMIFS('Forecast Engine'!$AL$4:$AL$12,'Forecast Engine'!$A$4:$A$12,$C54,'Forecast Engine'!$B$4:$B$12,$D54)</f>
        <v/>
      </c>
      <c r="K54" s="14">
        <f>$H54*SUMIFS('Forecast Engine'!$AM$4:$AM$12,'Forecast Engine'!$A$4:$A$12,$C54,'Forecast Engine'!$B$4:$B$12,$D54)</f>
        <v/>
      </c>
      <c r="L54" s="43">
        <f>SUM(I54:K54)</f>
        <v/>
      </c>
    </row>
    <row r="55">
      <c r="A55" s="39" t="inlineStr"/>
      <c r="B55" s="39" t="inlineStr"/>
      <c r="C55" s="40" t="inlineStr">
        <is>
          <t>Mamaearth</t>
        </is>
      </c>
      <c r="D55" s="40" t="inlineStr">
        <is>
          <t>Face</t>
        </is>
      </c>
      <c r="E55" s="39" t="inlineStr">
        <is>
          <t>Nykaa E-Retail Limited</t>
        </is>
      </c>
      <c r="F55" s="41" t="inlineStr">
        <is>
          <t>West</t>
        </is>
      </c>
      <c r="G55" s="42" t="n">
        <v>0.5185</v>
      </c>
      <c r="H55" s="16">
        <f>IFERROR(G55/SUMIFS($G$4:$G$1504,$C$4:$C$1504,$C55,$D$4:$D$1504,$D55),0)</f>
        <v/>
      </c>
      <c r="I55" s="14">
        <f>$H55*SUMIFS('Forecast Engine'!$AK$4:$AK$12,'Forecast Engine'!$A$4:$A$12,$C55,'Forecast Engine'!$B$4:$B$12,$D55)</f>
        <v/>
      </c>
      <c r="J55" s="14">
        <f>$H55*SUMIFS('Forecast Engine'!$AL$4:$AL$12,'Forecast Engine'!$A$4:$A$12,$C55,'Forecast Engine'!$B$4:$B$12,$D55)</f>
        <v/>
      </c>
      <c r="K55" s="14">
        <f>$H55*SUMIFS('Forecast Engine'!$AM$4:$AM$12,'Forecast Engine'!$A$4:$A$12,$C55,'Forecast Engine'!$B$4:$B$12,$D55)</f>
        <v/>
      </c>
      <c r="L55" s="43">
        <f>SUM(I55:K55)</f>
        <v/>
      </c>
    </row>
    <row r="56">
      <c r="A56" s="39" t="inlineStr">
        <is>
          <t>10101163</t>
        </is>
      </c>
      <c r="B56" s="39" t="inlineStr">
        <is>
          <t>Rice Dewy Bright Face wash</t>
        </is>
      </c>
      <c r="C56" s="40" t="inlineStr">
        <is>
          <t>Mamaearth</t>
        </is>
      </c>
      <c r="D56" s="40" t="inlineStr">
        <is>
          <t>Face</t>
        </is>
      </c>
      <c r="E56" s="39" t="inlineStr">
        <is>
          <t>Reliance Retail Limited</t>
        </is>
      </c>
      <c r="F56" s="41" t="inlineStr">
        <is>
          <t>South-1</t>
        </is>
      </c>
      <c r="G56" s="42" t="n">
        <v>0.5069</v>
      </c>
      <c r="H56" s="16">
        <f>IFERROR(G56/SUMIFS($G$4:$G$1504,$C$4:$C$1504,$C56,$D$4:$D$1504,$D56),0)</f>
        <v/>
      </c>
      <c r="I56" s="14">
        <f>$H56*SUMIFS('Forecast Engine'!$AK$4:$AK$12,'Forecast Engine'!$A$4:$A$12,$C56,'Forecast Engine'!$B$4:$B$12,$D56)</f>
        <v/>
      </c>
      <c r="J56" s="14">
        <f>$H56*SUMIFS('Forecast Engine'!$AL$4:$AL$12,'Forecast Engine'!$A$4:$A$12,$C56,'Forecast Engine'!$B$4:$B$12,$D56)</f>
        <v/>
      </c>
      <c r="K56" s="14">
        <f>$H56*SUMIFS('Forecast Engine'!$AM$4:$AM$12,'Forecast Engine'!$A$4:$A$12,$C56,'Forecast Engine'!$B$4:$B$12,$D56)</f>
        <v/>
      </c>
      <c r="L56" s="43">
        <f>SUM(I56:K56)</f>
        <v/>
      </c>
    </row>
    <row r="57">
      <c r="A57" s="39" t="inlineStr">
        <is>
          <t>10101166</t>
        </is>
      </c>
      <c r="B57" s="39" t="inlineStr">
        <is>
          <t>Vitamin C Face Wash 150 ml</t>
        </is>
      </c>
      <c r="C57" s="40" t="inlineStr">
        <is>
          <t>Mamaearth</t>
        </is>
      </c>
      <c r="D57" s="40" t="inlineStr">
        <is>
          <t>Face</t>
        </is>
      </c>
      <c r="E57" s="39" t="inlineStr">
        <is>
          <t>Apollo Healthco</t>
        </is>
      </c>
      <c r="F57" s="41" t="inlineStr">
        <is>
          <t>South-1</t>
        </is>
      </c>
      <c r="G57" s="42" t="n">
        <v>0.5016</v>
      </c>
      <c r="H57" s="16">
        <f>IFERROR(G57/SUMIFS($G$4:$G$1504,$C$4:$C$1504,$C57,$D$4:$D$1504,$D57),0)</f>
        <v/>
      </c>
      <c r="I57" s="14">
        <f>$H57*SUMIFS('Forecast Engine'!$AK$4:$AK$12,'Forecast Engine'!$A$4:$A$12,$C57,'Forecast Engine'!$B$4:$B$12,$D57)</f>
        <v/>
      </c>
      <c r="J57" s="14">
        <f>$H57*SUMIFS('Forecast Engine'!$AL$4:$AL$12,'Forecast Engine'!$A$4:$A$12,$C57,'Forecast Engine'!$B$4:$B$12,$D57)</f>
        <v/>
      </c>
      <c r="K57" s="14">
        <f>$H57*SUMIFS('Forecast Engine'!$AM$4:$AM$12,'Forecast Engine'!$A$4:$A$12,$C57,'Forecast Engine'!$B$4:$B$12,$D57)</f>
        <v/>
      </c>
      <c r="L57" s="43">
        <f>SUM(I57:K57)</f>
        <v/>
      </c>
    </row>
    <row r="58">
      <c r="A58" s="39" t="inlineStr">
        <is>
          <t>10100618</t>
        </is>
      </c>
      <c r="B58" s="39" t="inlineStr">
        <is>
          <t>Rice Face Wash 100 ml</t>
        </is>
      </c>
      <c r="C58" s="40" t="inlineStr">
        <is>
          <t>Mamaearth</t>
        </is>
      </c>
      <c r="D58" s="40" t="inlineStr">
        <is>
          <t>Face</t>
        </is>
      </c>
      <c r="E58" s="39" t="inlineStr">
        <is>
          <t>Nykaa E-Retail Limited</t>
        </is>
      </c>
      <c r="F58" s="41" t="inlineStr">
        <is>
          <t>East</t>
        </is>
      </c>
      <c r="G58" s="42" t="n">
        <v>0.4928</v>
      </c>
      <c r="H58" s="16">
        <f>IFERROR(G58/SUMIFS($G$4:$G$1504,$C$4:$C$1504,$C58,$D$4:$D$1504,$D58),0)</f>
        <v/>
      </c>
      <c r="I58" s="14">
        <f>$H58*SUMIFS('Forecast Engine'!$AK$4:$AK$12,'Forecast Engine'!$A$4:$A$12,$C58,'Forecast Engine'!$B$4:$B$12,$D58)</f>
        <v/>
      </c>
      <c r="J58" s="14">
        <f>$H58*SUMIFS('Forecast Engine'!$AL$4:$AL$12,'Forecast Engine'!$A$4:$A$12,$C58,'Forecast Engine'!$B$4:$B$12,$D58)</f>
        <v/>
      </c>
      <c r="K58" s="14">
        <f>$H58*SUMIFS('Forecast Engine'!$AM$4:$AM$12,'Forecast Engine'!$A$4:$A$12,$C58,'Forecast Engine'!$B$4:$B$12,$D58)</f>
        <v/>
      </c>
      <c r="L58" s="43">
        <f>SUM(I58:K58)</f>
        <v/>
      </c>
    </row>
    <row r="59">
      <c r="A59" s="39" t="inlineStr">
        <is>
          <t>10100062</t>
        </is>
      </c>
      <c r="B59" s="39" t="inlineStr">
        <is>
          <t>Mamaearth Ultra Light Indian Sunscreen with Carr</t>
        </is>
      </c>
      <c r="C59" s="40" t="inlineStr">
        <is>
          <t>Mamaearth</t>
        </is>
      </c>
      <c r="D59" s="40" t="inlineStr">
        <is>
          <t>Face</t>
        </is>
      </c>
      <c r="E59" s="39" t="inlineStr">
        <is>
          <t>D-Mart</t>
        </is>
      </c>
      <c r="F59" s="41" t="inlineStr">
        <is>
          <t>South-1</t>
        </is>
      </c>
      <c r="G59" s="42" t="n">
        <v>0.4658</v>
      </c>
      <c r="H59" s="16">
        <f>IFERROR(G59/SUMIFS($G$4:$G$1504,$C$4:$C$1504,$C59,$D$4:$D$1504,$D59),0)</f>
        <v/>
      </c>
      <c r="I59" s="14">
        <f>$H59*SUMIFS('Forecast Engine'!$AK$4:$AK$12,'Forecast Engine'!$A$4:$A$12,$C59,'Forecast Engine'!$B$4:$B$12,$D59)</f>
        <v/>
      </c>
      <c r="J59" s="14">
        <f>$H59*SUMIFS('Forecast Engine'!$AL$4:$AL$12,'Forecast Engine'!$A$4:$A$12,$C59,'Forecast Engine'!$B$4:$B$12,$D59)</f>
        <v/>
      </c>
      <c r="K59" s="14">
        <f>$H59*SUMIFS('Forecast Engine'!$AM$4:$AM$12,'Forecast Engine'!$A$4:$A$12,$C59,'Forecast Engine'!$B$4:$B$12,$D59)</f>
        <v/>
      </c>
      <c r="L59" s="43">
        <f>SUM(I59:K59)</f>
        <v/>
      </c>
    </row>
    <row r="60">
      <c r="A60" s="39" t="inlineStr">
        <is>
          <t>10100618</t>
        </is>
      </c>
      <c r="B60" s="39" t="inlineStr">
        <is>
          <t>Rice Face Wash 100 ml</t>
        </is>
      </c>
      <c r="C60" s="40" t="inlineStr">
        <is>
          <t>Mamaearth</t>
        </is>
      </c>
      <c r="D60" s="40" t="inlineStr">
        <is>
          <t>Face</t>
        </is>
      </c>
      <c r="E60" s="39" t="inlineStr">
        <is>
          <t>D-Mart</t>
        </is>
      </c>
      <c r="F60" s="41" t="inlineStr">
        <is>
          <t>North</t>
        </is>
      </c>
      <c r="G60" s="42" t="n">
        <v>0.4577</v>
      </c>
      <c r="H60" s="16">
        <f>IFERROR(G60/SUMIFS($G$4:$G$1504,$C$4:$C$1504,$C60,$D$4:$D$1504,$D60),0)</f>
        <v/>
      </c>
      <c r="I60" s="14">
        <f>$H60*SUMIFS('Forecast Engine'!$AK$4:$AK$12,'Forecast Engine'!$A$4:$A$12,$C60,'Forecast Engine'!$B$4:$B$12,$D60)</f>
        <v/>
      </c>
      <c r="J60" s="14">
        <f>$H60*SUMIFS('Forecast Engine'!$AL$4:$AL$12,'Forecast Engine'!$A$4:$A$12,$C60,'Forecast Engine'!$B$4:$B$12,$D60)</f>
        <v/>
      </c>
      <c r="K60" s="14">
        <f>$H60*SUMIFS('Forecast Engine'!$AM$4:$AM$12,'Forecast Engine'!$A$4:$A$12,$C60,'Forecast Engine'!$B$4:$B$12,$D60)</f>
        <v/>
      </c>
      <c r="L60" s="43">
        <f>SUM(I60:K60)</f>
        <v/>
      </c>
    </row>
    <row r="61">
      <c r="A61" s="39" t="inlineStr"/>
      <c r="B61" s="39" t="inlineStr"/>
      <c r="C61" s="40" t="inlineStr">
        <is>
          <t>Mamaearth</t>
        </is>
      </c>
      <c r="D61" s="40" t="inlineStr">
        <is>
          <t>Face</t>
        </is>
      </c>
      <c r="E61" s="39" t="inlineStr">
        <is>
          <t>Kiran Trading Company-So</t>
        </is>
      </c>
      <c r="F61" s="41" t="inlineStr">
        <is>
          <t>West</t>
        </is>
      </c>
      <c r="G61" s="42" t="n">
        <v>0.4573</v>
      </c>
      <c r="H61" s="16">
        <f>IFERROR(G61/SUMIFS($G$4:$G$1504,$C$4:$C$1504,$C61,$D$4:$D$1504,$D61),0)</f>
        <v/>
      </c>
      <c r="I61" s="14">
        <f>$H61*SUMIFS('Forecast Engine'!$AK$4:$AK$12,'Forecast Engine'!$A$4:$A$12,$C61,'Forecast Engine'!$B$4:$B$12,$D61)</f>
        <v/>
      </c>
      <c r="J61" s="14">
        <f>$H61*SUMIFS('Forecast Engine'!$AL$4:$AL$12,'Forecast Engine'!$A$4:$A$12,$C61,'Forecast Engine'!$B$4:$B$12,$D61)</f>
        <v/>
      </c>
      <c r="K61" s="14">
        <f>$H61*SUMIFS('Forecast Engine'!$AM$4:$AM$12,'Forecast Engine'!$A$4:$A$12,$C61,'Forecast Engine'!$B$4:$B$12,$D61)</f>
        <v/>
      </c>
      <c r="L61" s="43">
        <f>SUM(I61:K61)</f>
        <v/>
      </c>
    </row>
    <row r="62">
      <c r="A62" s="39" t="inlineStr">
        <is>
          <t>10100062</t>
        </is>
      </c>
      <c r="B62" s="39" t="inlineStr">
        <is>
          <t>Mamaearth Ultra Light Indian Sunscreen with Carr</t>
        </is>
      </c>
      <c r="C62" s="40" t="inlineStr">
        <is>
          <t>Mamaearth</t>
        </is>
      </c>
      <c r="D62" s="40" t="inlineStr">
        <is>
          <t>Face</t>
        </is>
      </c>
      <c r="E62" s="39" t="inlineStr">
        <is>
          <t>D-Mart</t>
        </is>
      </c>
      <c r="F62" s="41" t="inlineStr">
        <is>
          <t>West</t>
        </is>
      </c>
      <c r="G62" s="42" t="n">
        <v>0.4494</v>
      </c>
      <c r="H62" s="16">
        <f>IFERROR(G62/SUMIFS($G$4:$G$1504,$C$4:$C$1504,$C62,$D$4:$D$1504,$D62),0)</f>
        <v/>
      </c>
      <c r="I62" s="14">
        <f>$H62*SUMIFS('Forecast Engine'!$AK$4:$AK$12,'Forecast Engine'!$A$4:$A$12,$C62,'Forecast Engine'!$B$4:$B$12,$D62)</f>
        <v/>
      </c>
      <c r="J62" s="14">
        <f>$H62*SUMIFS('Forecast Engine'!$AL$4:$AL$12,'Forecast Engine'!$A$4:$A$12,$C62,'Forecast Engine'!$B$4:$B$12,$D62)</f>
        <v/>
      </c>
      <c r="K62" s="14">
        <f>$H62*SUMIFS('Forecast Engine'!$AM$4:$AM$12,'Forecast Engine'!$A$4:$A$12,$C62,'Forecast Engine'!$B$4:$B$12,$D62)</f>
        <v/>
      </c>
      <c r="L62" s="43">
        <f>SUM(I62:K62)</f>
        <v/>
      </c>
    </row>
    <row r="63">
      <c r="A63" s="39" t="inlineStr"/>
      <c r="B63" s="39" t="inlineStr"/>
      <c r="C63" s="40" t="inlineStr">
        <is>
          <t>Mamaearth</t>
        </is>
      </c>
      <c r="D63" s="40" t="inlineStr">
        <is>
          <t>Face</t>
        </is>
      </c>
      <c r="E63" s="39" t="inlineStr">
        <is>
          <t>Az Enterprises</t>
        </is>
      </c>
      <c r="F63" s="41" t="inlineStr">
        <is>
          <t>South-1</t>
        </is>
      </c>
      <c r="G63" s="42" t="n">
        <v>0.4403</v>
      </c>
      <c r="H63" s="16">
        <f>IFERROR(G63/SUMIFS($G$4:$G$1504,$C$4:$C$1504,$C63,$D$4:$D$1504,$D63),0)</f>
        <v/>
      </c>
      <c r="I63" s="14">
        <f>$H63*SUMIFS('Forecast Engine'!$AK$4:$AK$12,'Forecast Engine'!$A$4:$A$12,$C63,'Forecast Engine'!$B$4:$B$12,$D63)</f>
        <v/>
      </c>
      <c r="J63" s="14">
        <f>$H63*SUMIFS('Forecast Engine'!$AL$4:$AL$12,'Forecast Engine'!$A$4:$A$12,$C63,'Forecast Engine'!$B$4:$B$12,$D63)</f>
        <v/>
      </c>
      <c r="K63" s="14">
        <f>$H63*SUMIFS('Forecast Engine'!$AM$4:$AM$12,'Forecast Engine'!$A$4:$A$12,$C63,'Forecast Engine'!$B$4:$B$12,$D63)</f>
        <v/>
      </c>
      <c r="L63" s="43">
        <f>SUM(I63:K63)</f>
        <v/>
      </c>
    </row>
    <row r="64">
      <c r="A64" s="39" t="inlineStr">
        <is>
          <t>10101163</t>
        </is>
      </c>
      <c r="B64" s="39" t="inlineStr">
        <is>
          <t>Rice Dewy Bright Face wash</t>
        </is>
      </c>
      <c r="C64" s="40" t="inlineStr">
        <is>
          <t>Mamaearth</t>
        </is>
      </c>
      <c r="D64" s="40" t="inlineStr">
        <is>
          <t>Face</t>
        </is>
      </c>
      <c r="E64" s="39" t="inlineStr">
        <is>
          <t>G.V Enterprises</t>
        </is>
      </c>
      <c r="F64" s="41" t="inlineStr">
        <is>
          <t>South-1</t>
        </is>
      </c>
      <c r="G64" s="42" t="n">
        <v>0.4393</v>
      </c>
      <c r="H64" s="16">
        <f>IFERROR(G64/SUMIFS($G$4:$G$1504,$C$4:$C$1504,$C64,$D$4:$D$1504,$D64),0)</f>
        <v/>
      </c>
      <c r="I64" s="14">
        <f>$H64*SUMIFS('Forecast Engine'!$AK$4:$AK$12,'Forecast Engine'!$A$4:$A$12,$C64,'Forecast Engine'!$B$4:$B$12,$D64)</f>
        <v/>
      </c>
      <c r="J64" s="14">
        <f>$H64*SUMIFS('Forecast Engine'!$AL$4:$AL$12,'Forecast Engine'!$A$4:$A$12,$C64,'Forecast Engine'!$B$4:$B$12,$D64)</f>
        <v/>
      </c>
      <c r="K64" s="14">
        <f>$H64*SUMIFS('Forecast Engine'!$AM$4:$AM$12,'Forecast Engine'!$A$4:$A$12,$C64,'Forecast Engine'!$B$4:$B$12,$D64)</f>
        <v/>
      </c>
      <c r="L64" s="43">
        <f>SUM(I64:K64)</f>
        <v/>
      </c>
    </row>
    <row r="65">
      <c r="A65" s="39" t="inlineStr">
        <is>
          <t>10100062</t>
        </is>
      </c>
      <c r="B65" s="39" t="inlineStr">
        <is>
          <t>Mamaearth Ultra Light Indian Sunscreen with Carr</t>
        </is>
      </c>
      <c r="C65" s="40" t="inlineStr">
        <is>
          <t>Mamaearth</t>
        </is>
      </c>
      <c r="D65" s="40" t="inlineStr">
        <is>
          <t>Face</t>
        </is>
      </c>
      <c r="E65" s="39" t="inlineStr">
        <is>
          <t>Reliance Retail Limited</t>
        </is>
      </c>
      <c r="F65" s="41" t="inlineStr">
        <is>
          <t>North</t>
        </is>
      </c>
      <c r="G65" s="42" t="n">
        <v>0.432</v>
      </c>
      <c r="H65" s="16">
        <f>IFERROR(G65/SUMIFS($G$4:$G$1504,$C$4:$C$1504,$C65,$D$4:$D$1504,$D65),0)</f>
        <v/>
      </c>
      <c r="I65" s="14">
        <f>$H65*SUMIFS('Forecast Engine'!$AK$4:$AK$12,'Forecast Engine'!$A$4:$A$12,$C65,'Forecast Engine'!$B$4:$B$12,$D65)</f>
        <v/>
      </c>
      <c r="J65" s="14">
        <f>$H65*SUMIFS('Forecast Engine'!$AL$4:$AL$12,'Forecast Engine'!$A$4:$A$12,$C65,'Forecast Engine'!$B$4:$B$12,$D65)</f>
        <v/>
      </c>
      <c r="K65" s="14">
        <f>$H65*SUMIFS('Forecast Engine'!$AM$4:$AM$12,'Forecast Engine'!$A$4:$A$12,$C65,'Forecast Engine'!$B$4:$B$12,$D65)</f>
        <v/>
      </c>
      <c r="L65" s="43">
        <f>SUM(I65:K65)</f>
        <v/>
      </c>
    </row>
    <row r="66">
      <c r="A66" s="39" t="inlineStr">
        <is>
          <t>10101163</t>
        </is>
      </c>
      <c r="B66" s="39" t="inlineStr">
        <is>
          <t>Rice Dewy Bright Face wash</t>
        </is>
      </c>
      <c r="C66" s="40" t="inlineStr">
        <is>
          <t>Mamaearth</t>
        </is>
      </c>
      <c r="D66" s="40" t="inlineStr">
        <is>
          <t>Face</t>
        </is>
      </c>
      <c r="E66" s="39" t="inlineStr">
        <is>
          <t>Apollo Healthco</t>
        </is>
      </c>
      <c r="F66" s="41" t="inlineStr">
        <is>
          <t>North</t>
        </is>
      </c>
      <c r="G66" s="42" t="n">
        <v>0.4238</v>
      </c>
      <c r="H66" s="16">
        <f>IFERROR(G66/SUMIFS($G$4:$G$1504,$C$4:$C$1504,$C66,$D$4:$D$1504,$D66),0)</f>
        <v/>
      </c>
      <c r="I66" s="14">
        <f>$H66*SUMIFS('Forecast Engine'!$AK$4:$AK$12,'Forecast Engine'!$A$4:$A$12,$C66,'Forecast Engine'!$B$4:$B$12,$D66)</f>
        <v/>
      </c>
      <c r="J66" s="14">
        <f>$H66*SUMIFS('Forecast Engine'!$AL$4:$AL$12,'Forecast Engine'!$A$4:$A$12,$C66,'Forecast Engine'!$B$4:$B$12,$D66)</f>
        <v/>
      </c>
      <c r="K66" s="14">
        <f>$H66*SUMIFS('Forecast Engine'!$AM$4:$AM$12,'Forecast Engine'!$A$4:$A$12,$C66,'Forecast Engine'!$B$4:$B$12,$D66)</f>
        <v/>
      </c>
      <c r="L66" s="43">
        <f>SUM(I66:K66)</f>
        <v/>
      </c>
    </row>
    <row r="67">
      <c r="A67" s="39" t="inlineStr">
        <is>
          <t>10100695</t>
        </is>
      </c>
      <c r="B67" s="39" t="inlineStr">
        <is>
          <t xml:space="preserve">ME Ubtan Natural Glow Face Wash With Turmeric &amp; </t>
        </is>
      </c>
      <c r="C67" s="40" t="inlineStr">
        <is>
          <t>Mamaearth</t>
        </is>
      </c>
      <c r="D67" s="40" t="inlineStr">
        <is>
          <t>Face</t>
        </is>
      </c>
      <c r="E67" s="39" t="inlineStr">
        <is>
          <t>D-Mart</t>
        </is>
      </c>
      <c r="F67" s="41" t="inlineStr">
        <is>
          <t>South-1</t>
        </is>
      </c>
      <c r="G67" s="42" t="n">
        <v>0.4214</v>
      </c>
      <c r="H67" s="16">
        <f>IFERROR(G67/SUMIFS($G$4:$G$1504,$C$4:$C$1504,$C67,$D$4:$D$1504,$D67),0)</f>
        <v/>
      </c>
      <c r="I67" s="14">
        <f>$H67*SUMIFS('Forecast Engine'!$AK$4:$AK$12,'Forecast Engine'!$A$4:$A$12,$C67,'Forecast Engine'!$B$4:$B$12,$D67)</f>
        <v/>
      </c>
      <c r="J67" s="14">
        <f>$H67*SUMIFS('Forecast Engine'!$AL$4:$AL$12,'Forecast Engine'!$A$4:$A$12,$C67,'Forecast Engine'!$B$4:$B$12,$D67)</f>
        <v/>
      </c>
      <c r="K67" s="14">
        <f>$H67*SUMIFS('Forecast Engine'!$AM$4:$AM$12,'Forecast Engine'!$A$4:$A$12,$C67,'Forecast Engine'!$B$4:$B$12,$D67)</f>
        <v/>
      </c>
      <c r="L67" s="43">
        <f>SUM(I67:K67)</f>
        <v/>
      </c>
    </row>
    <row r="68">
      <c r="A68" s="39" t="inlineStr"/>
      <c r="B68" s="39" t="inlineStr"/>
      <c r="C68" s="40" t="inlineStr">
        <is>
          <t>Mamaearth</t>
        </is>
      </c>
      <c r="D68" s="40" t="inlineStr">
        <is>
          <t>Face</t>
        </is>
      </c>
      <c r="E68" s="39" t="inlineStr">
        <is>
          <t>Walmart-CNC</t>
        </is>
      </c>
      <c r="F68" s="41" t="inlineStr">
        <is>
          <t>North</t>
        </is>
      </c>
      <c r="G68" s="42" t="n">
        <v>0.3894</v>
      </c>
      <c r="H68" s="16">
        <f>IFERROR(G68/SUMIFS($G$4:$G$1504,$C$4:$C$1504,$C68,$D$4:$D$1504,$D68),0)</f>
        <v/>
      </c>
      <c r="I68" s="14">
        <f>$H68*SUMIFS('Forecast Engine'!$AK$4:$AK$12,'Forecast Engine'!$A$4:$A$12,$C68,'Forecast Engine'!$B$4:$B$12,$D68)</f>
        <v/>
      </c>
      <c r="J68" s="14">
        <f>$H68*SUMIFS('Forecast Engine'!$AL$4:$AL$12,'Forecast Engine'!$A$4:$A$12,$C68,'Forecast Engine'!$B$4:$B$12,$D68)</f>
        <v/>
      </c>
      <c r="K68" s="14">
        <f>$H68*SUMIFS('Forecast Engine'!$AM$4:$AM$12,'Forecast Engine'!$A$4:$A$12,$C68,'Forecast Engine'!$B$4:$B$12,$D68)</f>
        <v/>
      </c>
      <c r="L68" s="43">
        <f>SUM(I68:K68)</f>
        <v/>
      </c>
    </row>
    <row r="69">
      <c r="A69" s="39" t="inlineStr">
        <is>
          <t>10100035</t>
        </is>
      </c>
      <c r="B69" s="39" t="inlineStr">
        <is>
          <t xml:space="preserve">ME Ubtan Natural Glow Face Wash With Turmeric &amp; </t>
        </is>
      </c>
      <c r="C69" s="40" t="inlineStr">
        <is>
          <t>Mamaearth</t>
        </is>
      </c>
      <c r="D69" s="40" t="inlineStr">
        <is>
          <t>Face</t>
        </is>
      </c>
      <c r="E69" s="39" t="inlineStr">
        <is>
          <t>D-Mart</t>
        </is>
      </c>
      <c r="F69" s="41" t="inlineStr">
        <is>
          <t>West</t>
        </is>
      </c>
      <c r="G69" s="42" t="n">
        <v>0.363</v>
      </c>
      <c r="H69" s="16">
        <f>IFERROR(G69/SUMIFS($G$4:$G$1504,$C$4:$C$1504,$C69,$D$4:$D$1504,$D69),0)</f>
        <v/>
      </c>
      <c r="I69" s="14">
        <f>$H69*SUMIFS('Forecast Engine'!$AK$4:$AK$12,'Forecast Engine'!$A$4:$A$12,$C69,'Forecast Engine'!$B$4:$B$12,$D69)</f>
        <v/>
      </c>
      <c r="J69" s="14">
        <f>$H69*SUMIFS('Forecast Engine'!$AL$4:$AL$12,'Forecast Engine'!$A$4:$A$12,$C69,'Forecast Engine'!$B$4:$B$12,$D69)</f>
        <v/>
      </c>
      <c r="K69" s="14">
        <f>$H69*SUMIFS('Forecast Engine'!$AM$4:$AM$12,'Forecast Engine'!$A$4:$A$12,$C69,'Forecast Engine'!$B$4:$B$12,$D69)</f>
        <v/>
      </c>
      <c r="L69" s="43">
        <f>SUM(I69:K69)</f>
        <v/>
      </c>
    </row>
    <row r="70">
      <c r="A70" s="39" t="inlineStr">
        <is>
          <t>10100062</t>
        </is>
      </c>
      <c r="B70" s="39" t="inlineStr">
        <is>
          <t>Mamaearth Ultra Light Indian Sunscreen with Carr</t>
        </is>
      </c>
      <c r="C70" s="40" t="inlineStr">
        <is>
          <t>Mamaearth</t>
        </is>
      </c>
      <c r="D70" s="40" t="inlineStr">
        <is>
          <t>Face</t>
        </is>
      </c>
      <c r="E70" s="39" t="inlineStr">
        <is>
          <t>G.V Enterprises</t>
        </is>
      </c>
      <c r="F70" s="41" t="inlineStr">
        <is>
          <t>South-1</t>
        </is>
      </c>
      <c r="G70" s="42" t="n">
        <v>0.3589</v>
      </c>
      <c r="H70" s="16">
        <f>IFERROR(G70/SUMIFS($G$4:$G$1504,$C$4:$C$1504,$C70,$D$4:$D$1504,$D70),0)</f>
        <v/>
      </c>
      <c r="I70" s="14">
        <f>$H70*SUMIFS('Forecast Engine'!$AK$4:$AK$12,'Forecast Engine'!$A$4:$A$12,$C70,'Forecast Engine'!$B$4:$B$12,$D70)</f>
        <v/>
      </c>
      <c r="J70" s="14">
        <f>$H70*SUMIFS('Forecast Engine'!$AL$4:$AL$12,'Forecast Engine'!$A$4:$A$12,$C70,'Forecast Engine'!$B$4:$B$12,$D70)</f>
        <v/>
      </c>
      <c r="K70" s="14">
        <f>$H70*SUMIFS('Forecast Engine'!$AM$4:$AM$12,'Forecast Engine'!$A$4:$A$12,$C70,'Forecast Engine'!$B$4:$B$12,$D70)</f>
        <v/>
      </c>
      <c r="L70" s="43">
        <f>SUM(I70:K70)</f>
        <v/>
      </c>
    </row>
    <row r="71">
      <c r="A71" s="39" t="inlineStr">
        <is>
          <t>10100035</t>
        </is>
      </c>
      <c r="B71" s="39" t="inlineStr">
        <is>
          <t xml:space="preserve">ME Ubtan Natural Glow Face Wash With Turmeric &amp; </t>
        </is>
      </c>
      <c r="C71" s="40" t="inlineStr">
        <is>
          <t>Mamaearth</t>
        </is>
      </c>
      <c r="D71" s="40" t="inlineStr">
        <is>
          <t>Face</t>
        </is>
      </c>
      <c r="E71" s="39" t="inlineStr">
        <is>
          <t>JUST MARK-Dmart</t>
        </is>
      </c>
      <c r="F71" s="41" t="inlineStr">
        <is>
          <t>West</t>
        </is>
      </c>
      <c r="G71" s="42" t="n">
        <v>0.3582</v>
      </c>
      <c r="H71" s="16">
        <f>IFERROR(G71/SUMIFS($G$4:$G$1504,$C$4:$C$1504,$C71,$D$4:$D$1504,$D71),0)</f>
        <v/>
      </c>
      <c r="I71" s="14">
        <f>$H71*SUMIFS('Forecast Engine'!$AK$4:$AK$12,'Forecast Engine'!$A$4:$A$12,$C71,'Forecast Engine'!$B$4:$B$12,$D71)</f>
        <v/>
      </c>
      <c r="J71" s="14">
        <f>$H71*SUMIFS('Forecast Engine'!$AL$4:$AL$12,'Forecast Engine'!$A$4:$A$12,$C71,'Forecast Engine'!$B$4:$B$12,$D71)</f>
        <v/>
      </c>
      <c r="K71" s="14">
        <f>$H71*SUMIFS('Forecast Engine'!$AM$4:$AM$12,'Forecast Engine'!$A$4:$A$12,$C71,'Forecast Engine'!$B$4:$B$12,$D71)</f>
        <v/>
      </c>
      <c r="L71" s="43">
        <f>SUM(I71:K71)</f>
        <v/>
      </c>
    </row>
    <row r="72">
      <c r="A72" s="39" t="inlineStr">
        <is>
          <t>10100955</t>
        </is>
      </c>
      <c r="B72" s="39" t="inlineStr">
        <is>
          <t>Multani Mitti Face Wash 100 ml</t>
        </is>
      </c>
      <c r="C72" s="40" t="inlineStr">
        <is>
          <t>Mamaearth</t>
        </is>
      </c>
      <c r="D72" s="40" t="inlineStr">
        <is>
          <t>Face</t>
        </is>
      </c>
      <c r="E72" s="39" t="inlineStr">
        <is>
          <t>G.V Enterprises</t>
        </is>
      </c>
      <c r="F72" s="41" t="inlineStr">
        <is>
          <t>South-1</t>
        </is>
      </c>
      <c r="G72" s="42" t="n">
        <v>0.3563</v>
      </c>
      <c r="H72" s="16">
        <f>IFERROR(G72/SUMIFS($G$4:$G$1504,$C$4:$C$1504,$C72,$D$4:$D$1504,$D72),0)</f>
        <v/>
      </c>
      <c r="I72" s="14">
        <f>$H72*SUMIFS('Forecast Engine'!$AK$4:$AK$12,'Forecast Engine'!$A$4:$A$12,$C72,'Forecast Engine'!$B$4:$B$12,$D72)</f>
        <v/>
      </c>
      <c r="J72" s="14">
        <f>$H72*SUMIFS('Forecast Engine'!$AL$4:$AL$12,'Forecast Engine'!$A$4:$A$12,$C72,'Forecast Engine'!$B$4:$B$12,$D72)</f>
        <v/>
      </c>
      <c r="K72" s="14">
        <f>$H72*SUMIFS('Forecast Engine'!$AM$4:$AM$12,'Forecast Engine'!$A$4:$A$12,$C72,'Forecast Engine'!$B$4:$B$12,$D72)</f>
        <v/>
      </c>
      <c r="L72" s="43">
        <f>SUM(I72:K72)</f>
        <v/>
      </c>
    </row>
    <row r="73">
      <c r="A73" s="39" t="inlineStr">
        <is>
          <t>10100062</t>
        </is>
      </c>
      <c r="B73" s="39" t="inlineStr">
        <is>
          <t>Mamaearth Ultra Light Indian Sunscreen with Carr</t>
        </is>
      </c>
      <c r="C73" s="40" t="inlineStr">
        <is>
          <t>Mamaearth</t>
        </is>
      </c>
      <c r="D73" s="40" t="inlineStr">
        <is>
          <t>Face</t>
        </is>
      </c>
      <c r="E73" s="39" t="inlineStr">
        <is>
          <t>Apollo Healthco</t>
        </is>
      </c>
      <c r="F73" s="41" t="inlineStr">
        <is>
          <t>South-1</t>
        </is>
      </c>
      <c r="G73" s="42" t="n">
        <v>0.355</v>
      </c>
      <c r="H73" s="16">
        <f>IFERROR(G73/SUMIFS($G$4:$G$1504,$C$4:$C$1504,$C73,$D$4:$D$1504,$D73),0)</f>
        <v/>
      </c>
      <c r="I73" s="14">
        <f>$H73*SUMIFS('Forecast Engine'!$AK$4:$AK$12,'Forecast Engine'!$A$4:$A$12,$C73,'Forecast Engine'!$B$4:$B$12,$D73)</f>
        <v/>
      </c>
      <c r="J73" s="14">
        <f>$H73*SUMIFS('Forecast Engine'!$AL$4:$AL$12,'Forecast Engine'!$A$4:$A$12,$C73,'Forecast Engine'!$B$4:$B$12,$D73)</f>
        <v/>
      </c>
      <c r="K73" s="14">
        <f>$H73*SUMIFS('Forecast Engine'!$AM$4:$AM$12,'Forecast Engine'!$A$4:$A$12,$C73,'Forecast Engine'!$B$4:$B$12,$D73)</f>
        <v/>
      </c>
      <c r="L73" s="43">
        <f>SUM(I73:K73)</f>
        <v/>
      </c>
    </row>
    <row r="74">
      <c r="A74" s="39" t="inlineStr">
        <is>
          <t>10100695</t>
        </is>
      </c>
      <c r="B74" s="39" t="inlineStr">
        <is>
          <t xml:space="preserve">ME Ubtan Natural Glow Face Wash With Turmeric &amp; </t>
        </is>
      </c>
      <c r="C74" s="40" t="inlineStr">
        <is>
          <t>Mamaearth</t>
        </is>
      </c>
      <c r="D74" s="40" t="inlineStr">
        <is>
          <t>Face</t>
        </is>
      </c>
      <c r="E74" s="39" t="inlineStr">
        <is>
          <t>Sri Vijaya Durga Agencie</t>
        </is>
      </c>
      <c r="F74" s="41" t="inlineStr">
        <is>
          <t>South-2</t>
        </is>
      </c>
      <c r="G74" s="42" t="n">
        <v>0.3505</v>
      </c>
      <c r="H74" s="16">
        <f>IFERROR(G74/SUMIFS($G$4:$G$1504,$C$4:$C$1504,$C74,$D$4:$D$1504,$D74),0)</f>
        <v/>
      </c>
      <c r="I74" s="14">
        <f>$H74*SUMIFS('Forecast Engine'!$AK$4:$AK$12,'Forecast Engine'!$A$4:$A$12,$C74,'Forecast Engine'!$B$4:$B$12,$D74)</f>
        <v/>
      </c>
      <c r="J74" s="14">
        <f>$H74*SUMIFS('Forecast Engine'!$AL$4:$AL$12,'Forecast Engine'!$A$4:$A$12,$C74,'Forecast Engine'!$B$4:$B$12,$D74)</f>
        <v/>
      </c>
      <c r="K74" s="14">
        <f>$H74*SUMIFS('Forecast Engine'!$AM$4:$AM$12,'Forecast Engine'!$A$4:$A$12,$C74,'Forecast Engine'!$B$4:$B$12,$D74)</f>
        <v/>
      </c>
      <c r="L74" s="43">
        <f>SUM(I74:K74)</f>
        <v/>
      </c>
    </row>
    <row r="75">
      <c r="A75" s="39" t="inlineStr">
        <is>
          <t>10100912</t>
        </is>
      </c>
      <c r="B75" s="39" t="inlineStr">
        <is>
          <t>Vitamin C Daily Glow Sunscreen 50 g</t>
        </is>
      </c>
      <c r="C75" s="40" t="inlineStr">
        <is>
          <t>Mamaearth</t>
        </is>
      </c>
      <c r="D75" s="40" t="inlineStr">
        <is>
          <t>Face</t>
        </is>
      </c>
      <c r="E75" s="39" t="inlineStr">
        <is>
          <t>Reliance Retail Limited</t>
        </is>
      </c>
      <c r="F75" s="41" t="inlineStr">
        <is>
          <t>North</t>
        </is>
      </c>
      <c r="G75" s="42" t="n">
        <v>0.3495</v>
      </c>
      <c r="H75" s="16">
        <f>IFERROR(G75/SUMIFS($G$4:$G$1504,$C$4:$C$1504,$C75,$D$4:$D$1504,$D75),0)</f>
        <v/>
      </c>
      <c r="I75" s="14">
        <f>$H75*SUMIFS('Forecast Engine'!$AK$4:$AK$12,'Forecast Engine'!$A$4:$A$12,$C75,'Forecast Engine'!$B$4:$B$12,$D75)</f>
        <v/>
      </c>
      <c r="J75" s="14">
        <f>$H75*SUMIFS('Forecast Engine'!$AL$4:$AL$12,'Forecast Engine'!$A$4:$A$12,$C75,'Forecast Engine'!$B$4:$B$12,$D75)</f>
        <v/>
      </c>
      <c r="K75" s="14">
        <f>$H75*SUMIFS('Forecast Engine'!$AM$4:$AM$12,'Forecast Engine'!$A$4:$A$12,$C75,'Forecast Engine'!$B$4:$B$12,$D75)</f>
        <v/>
      </c>
      <c r="L75" s="43">
        <f>SUM(I75:K75)</f>
        <v/>
      </c>
    </row>
    <row r="76">
      <c r="A76" s="39" t="inlineStr"/>
      <c r="B76" s="39" t="inlineStr"/>
      <c r="C76" s="40" t="inlineStr">
        <is>
          <t>Mamaearth</t>
        </is>
      </c>
      <c r="D76" s="40" t="inlineStr">
        <is>
          <t>Face</t>
        </is>
      </c>
      <c r="E76" s="39" t="inlineStr">
        <is>
          <t>CHHABRA TRADERS</t>
        </is>
      </c>
      <c r="F76" s="41" t="inlineStr">
        <is>
          <t>North</t>
        </is>
      </c>
      <c r="G76" s="42" t="n">
        <v>0.344</v>
      </c>
      <c r="H76" s="16">
        <f>IFERROR(G76/SUMIFS($G$4:$G$1504,$C$4:$C$1504,$C76,$D$4:$D$1504,$D76),0)</f>
        <v/>
      </c>
      <c r="I76" s="14">
        <f>$H76*SUMIFS('Forecast Engine'!$AK$4:$AK$12,'Forecast Engine'!$A$4:$A$12,$C76,'Forecast Engine'!$B$4:$B$12,$D76)</f>
        <v/>
      </c>
      <c r="J76" s="14">
        <f>$H76*SUMIFS('Forecast Engine'!$AL$4:$AL$12,'Forecast Engine'!$A$4:$A$12,$C76,'Forecast Engine'!$B$4:$B$12,$D76)</f>
        <v/>
      </c>
      <c r="K76" s="14">
        <f>$H76*SUMIFS('Forecast Engine'!$AM$4:$AM$12,'Forecast Engine'!$A$4:$A$12,$C76,'Forecast Engine'!$B$4:$B$12,$D76)</f>
        <v/>
      </c>
      <c r="L76" s="43">
        <f>SUM(I76:K76)</f>
        <v/>
      </c>
    </row>
    <row r="77">
      <c r="A77" s="39" t="inlineStr">
        <is>
          <t>10101163</t>
        </is>
      </c>
      <c r="B77" s="39" t="inlineStr">
        <is>
          <t>Rice Dewy Bright Face wash</t>
        </is>
      </c>
      <c r="C77" s="40" t="inlineStr">
        <is>
          <t>Mamaearth</t>
        </is>
      </c>
      <c r="D77" s="40" t="inlineStr">
        <is>
          <t>Face</t>
        </is>
      </c>
      <c r="E77" s="39" t="inlineStr">
        <is>
          <t>JUST MARK-D-Mart</t>
        </is>
      </c>
      <c r="F77" s="41" t="inlineStr">
        <is>
          <t>West</t>
        </is>
      </c>
      <c r="G77" s="42" t="n">
        <v>0.3383</v>
      </c>
      <c r="H77" s="16">
        <f>IFERROR(G77/SUMIFS($G$4:$G$1504,$C$4:$C$1504,$C77,$D$4:$D$1504,$D77),0)</f>
        <v/>
      </c>
      <c r="I77" s="14">
        <f>$H77*SUMIFS('Forecast Engine'!$AK$4:$AK$12,'Forecast Engine'!$A$4:$A$12,$C77,'Forecast Engine'!$B$4:$B$12,$D77)</f>
        <v/>
      </c>
      <c r="J77" s="14">
        <f>$H77*SUMIFS('Forecast Engine'!$AL$4:$AL$12,'Forecast Engine'!$A$4:$A$12,$C77,'Forecast Engine'!$B$4:$B$12,$D77)</f>
        <v/>
      </c>
      <c r="K77" s="14">
        <f>$H77*SUMIFS('Forecast Engine'!$AM$4:$AM$12,'Forecast Engine'!$A$4:$A$12,$C77,'Forecast Engine'!$B$4:$B$12,$D77)</f>
        <v/>
      </c>
      <c r="L77" s="43">
        <f>SUM(I77:K77)</f>
        <v/>
      </c>
    </row>
    <row r="78">
      <c r="A78" s="39" t="inlineStr">
        <is>
          <t>10100121</t>
        </is>
      </c>
      <c r="B78" s="39" t="inlineStr">
        <is>
          <t xml:space="preserve">Vitamin C Face Wash with Vitamin C and Turmeric </t>
        </is>
      </c>
      <c r="C78" s="40" t="inlineStr">
        <is>
          <t>Mamaearth</t>
        </is>
      </c>
      <c r="D78" s="40" t="inlineStr">
        <is>
          <t>Face</t>
        </is>
      </c>
      <c r="E78" s="39" t="inlineStr">
        <is>
          <t>D-Mart</t>
        </is>
      </c>
      <c r="F78" s="41" t="inlineStr">
        <is>
          <t>North</t>
        </is>
      </c>
      <c r="G78" s="42" t="n">
        <v>0.3297</v>
      </c>
      <c r="H78" s="16">
        <f>IFERROR(G78/SUMIFS($G$4:$G$1504,$C$4:$C$1504,$C78,$D$4:$D$1504,$D78),0)</f>
        <v/>
      </c>
      <c r="I78" s="14">
        <f>$H78*SUMIFS('Forecast Engine'!$AK$4:$AK$12,'Forecast Engine'!$A$4:$A$12,$C78,'Forecast Engine'!$B$4:$B$12,$D78)</f>
        <v/>
      </c>
      <c r="J78" s="14">
        <f>$H78*SUMIFS('Forecast Engine'!$AL$4:$AL$12,'Forecast Engine'!$A$4:$A$12,$C78,'Forecast Engine'!$B$4:$B$12,$D78)</f>
        <v/>
      </c>
      <c r="K78" s="14">
        <f>$H78*SUMIFS('Forecast Engine'!$AM$4:$AM$12,'Forecast Engine'!$A$4:$A$12,$C78,'Forecast Engine'!$B$4:$B$12,$D78)</f>
        <v/>
      </c>
      <c r="L78" s="43">
        <f>SUM(I78:K78)</f>
        <v/>
      </c>
    </row>
    <row r="79">
      <c r="A79" s="39" t="inlineStr"/>
      <c r="B79" s="39" t="inlineStr"/>
      <c r="C79" s="40" t="inlineStr">
        <is>
          <t>Mamaearth</t>
        </is>
      </c>
      <c r="D79" s="40" t="inlineStr">
        <is>
          <t>Face</t>
        </is>
      </c>
      <c r="E79" s="39" t="inlineStr">
        <is>
          <t>PRAGATI SALES-D-MART</t>
        </is>
      </c>
      <c r="F79" s="41" t="inlineStr">
        <is>
          <t>West</t>
        </is>
      </c>
      <c r="G79" s="42" t="n">
        <v>0.3282</v>
      </c>
      <c r="H79" s="16">
        <f>IFERROR(G79/SUMIFS($G$4:$G$1504,$C$4:$C$1504,$C79,$D$4:$D$1504,$D79),0)</f>
        <v/>
      </c>
      <c r="I79" s="14">
        <f>$H79*SUMIFS('Forecast Engine'!$AK$4:$AK$12,'Forecast Engine'!$A$4:$A$12,$C79,'Forecast Engine'!$B$4:$B$12,$D79)</f>
        <v/>
      </c>
      <c r="J79" s="14">
        <f>$H79*SUMIFS('Forecast Engine'!$AL$4:$AL$12,'Forecast Engine'!$A$4:$A$12,$C79,'Forecast Engine'!$B$4:$B$12,$D79)</f>
        <v/>
      </c>
      <c r="K79" s="14">
        <f>$H79*SUMIFS('Forecast Engine'!$AM$4:$AM$12,'Forecast Engine'!$A$4:$A$12,$C79,'Forecast Engine'!$B$4:$B$12,$D79)</f>
        <v/>
      </c>
      <c r="L79" s="43">
        <f>SUM(I79:K79)</f>
        <v/>
      </c>
    </row>
    <row r="80">
      <c r="A80" s="39" t="inlineStr">
        <is>
          <t>10100618</t>
        </is>
      </c>
      <c r="B80" s="39" t="inlineStr">
        <is>
          <t>Rice Face Wash 100 ml</t>
        </is>
      </c>
      <c r="C80" s="40" t="inlineStr">
        <is>
          <t>Mamaearth</t>
        </is>
      </c>
      <c r="D80" s="40" t="inlineStr">
        <is>
          <t>Face</t>
        </is>
      </c>
      <c r="E80" s="39" t="inlineStr">
        <is>
          <t>D-Mart</t>
        </is>
      </c>
      <c r="F80" s="41" t="inlineStr">
        <is>
          <t>West</t>
        </is>
      </c>
      <c r="G80" s="42" t="n">
        <v>0.3275</v>
      </c>
      <c r="H80" s="16">
        <f>IFERROR(G80/SUMIFS($G$4:$G$1504,$C$4:$C$1504,$C80,$D$4:$D$1504,$D80),0)</f>
        <v/>
      </c>
      <c r="I80" s="14">
        <f>$H80*SUMIFS('Forecast Engine'!$AK$4:$AK$12,'Forecast Engine'!$A$4:$A$12,$C80,'Forecast Engine'!$B$4:$B$12,$D80)</f>
        <v/>
      </c>
      <c r="J80" s="14">
        <f>$H80*SUMIFS('Forecast Engine'!$AL$4:$AL$12,'Forecast Engine'!$A$4:$A$12,$C80,'Forecast Engine'!$B$4:$B$12,$D80)</f>
        <v/>
      </c>
      <c r="K80" s="14">
        <f>$H80*SUMIFS('Forecast Engine'!$AM$4:$AM$12,'Forecast Engine'!$A$4:$A$12,$C80,'Forecast Engine'!$B$4:$B$12,$D80)</f>
        <v/>
      </c>
      <c r="L80" s="43">
        <f>SUM(I80:K80)</f>
        <v/>
      </c>
    </row>
    <row r="81">
      <c r="A81" s="39" t="inlineStr">
        <is>
          <t>10100035</t>
        </is>
      </c>
      <c r="B81" s="39" t="inlineStr">
        <is>
          <t xml:space="preserve">ME Ubtan Natural Glow Face Wash With Turmeric &amp; </t>
        </is>
      </c>
      <c r="C81" s="40" t="inlineStr">
        <is>
          <t>Mamaearth</t>
        </is>
      </c>
      <c r="D81" s="40" t="inlineStr">
        <is>
          <t>Face</t>
        </is>
      </c>
      <c r="E81" s="39" t="inlineStr">
        <is>
          <t>Nykaa E-Retail Limited</t>
        </is>
      </c>
      <c r="F81" s="41" t="inlineStr">
        <is>
          <t>East</t>
        </is>
      </c>
      <c r="G81" s="42" t="n">
        <v>0.326</v>
      </c>
      <c r="H81" s="16">
        <f>IFERROR(G81/SUMIFS($G$4:$G$1504,$C$4:$C$1504,$C81,$D$4:$D$1504,$D81),0)</f>
        <v/>
      </c>
      <c r="I81" s="14">
        <f>$H81*SUMIFS('Forecast Engine'!$AK$4:$AK$12,'Forecast Engine'!$A$4:$A$12,$C81,'Forecast Engine'!$B$4:$B$12,$D81)</f>
        <v/>
      </c>
      <c r="J81" s="14">
        <f>$H81*SUMIFS('Forecast Engine'!$AL$4:$AL$12,'Forecast Engine'!$A$4:$A$12,$C81,'Forecast Engine'!$B$4:$B$12,$D81)</f>
        <v/>
      </c>
      <c r="K81" s="14">
        <f>$H81*SUMIFS('Forecast Engine'!$AM$4:$AM$12,'Forecast Engine'!$A$4:$A$12,$C81,'Forecast Engine'!$B$4:$B$12,$D81)</f>
        <v/>
      </c>
      <c r="L81" s="43">
        <f>SUM(I81:K81)</f>
        <v/>
      </c>
    </row>
    <row r="82">
      <c r="A82" s="39" t="inlineStr">
        <is>
          <t>10101163</t>
        </is>
      </c>
      <c r="B82" s="39" t="inlineStr">
        <is>
          <t>Rice Dewy Bright Face wash</t>
        </is>
      </c>
      <c r="C82" s="40" t="inlineStr">
        <is>
          <t>Mamaearth</t>
        </is>
      </c>
      <c r="D82" s="40" t="inlineStr">
        <is>
          <t>Face</t>
        </is>
      </c>
      <c r="E82" s="39" t="inlineStr">
        <is>
          <t>Apollo Healthco</t>
        </is>
      </c>
      <c r="F82" s="41" t="inlineStr">
        <is>
          <t>East</t>
        </is>
      </c>
      <c r="G82" s="42" t="n">
        <v>0.3237</v>
      </c>
      <c r="H82" s="16">
        <f>IFERROR(G82/SUMIFS($G$4:$G$1504,$C$4:$C$1504,$C82,$D$4:$D$1504,$D82),0)</f>
        <v/>
      </c>
      <c r="I82" s="14">
        <f>$H82*SUMIFS('Forecast Engine'!$AK$4:$AK$12,'Forecast Engine'!$A$4:$A$12,$C82,'Forecast Engine'!$B$4:$B$12,$D82)</f>
        <v/>
      </c>
      <c r="J82" s="14">
        <f>$H82*SUMIFS('Forecast Engine'!$AL$4:$AL$12,'Forecast Engine'!$A$4:$A$12,$C82,'Forecast Engine'!$B$4:$B$12,$D82)</f>
        <v/>
      </c>
      <c r="K82" s="14">
        <f>$H82*SUMIFS('Forecast Engine'!$AM$4:$AM$12,'Forecast Engine'!$A$4:$A$12,$C82,'Forecast Engine'!$B$4:$B$12,$D82)</f>
        <v/>
      </c>
      <c r="L82" s="43">
        <f>SUM(I82:K82)</f>
        <v/>
      </c>
    </row>
    <row r="83">
      <c r="A83" s="39" t="inlineStr">
        <is>
          <t>10101163</t>
        </is>
      </c>
      <c r="B83" s="39" t="inlineStr">
        <is>
          <t>Rice Dewy Bright Face wash</t>
        </is>
      </c>
      <c r="C83" s="40" t="inlineStr">
        <is>
          <t>Mamaearth</t>
        </is>
      </c>
      <c r="D83" s="40" t="inlineStr">
        <is>
          <t>Face</t>
        </is>
      </c>
      <c r="E83" s="39" t="inlineStr">
        <is>
          <t>Apollo Healthco</t>
        </is>
      </c>
      <c r="F83" s="41" t="inlineStr">
        <is>
          <t>West</t>
        </is>
      </c>
      <c r="G83" s="42" t="n">
        <v>0.3216</v>
      </c>
      <c r="H83" s="16">
        <f>IFERROR(G83/SUMIFS($G$4:$G$1504,$C$4:$C$1504,$C83,$D$4:$D$1504,$D83),0)</f>
        <v/>
      </c>
      <c r="I83" s="14">
        <f>$H83*SUMIFS('Forecast Engine'!$AK$4:$AK$12,'Forecast Engine'!$A$4:$A$12,$C83,'Forecast Engine'!$B$4:$B$12,$D83)</f>
        <v/>
      </c>
      <c r="J83" s="14">
        <f>$H83*SUMIFS('Forecast Engine'!$AL$4:$AL$12,'Forecast Engine'!$A$4:$A$12,$C83,'Forecast Engine'!$B$4:$B$12,$D83)</f>
        <v/>
      </c>
      <c r="K83" s="14">
        <f>$H83*SUMIFS('Forecast Engine'!$AM$4:$AM$12,'Forecast Engine'!$A$4:$A$12,$C83,'Forecast Engine'!$B$4:$B$12,$D83)</f>
        <v/>
      </c>
      <c r="L83" s="43">
        <f>SUM(I83:K83)</f>
        <v/>
      </c>
    </row>
    <row r="84">
      <c r="A84" s="39" t="inlineStr">
        <is>
          <t>10100618</t>
        </is>
      </c>
      <c r="B84" s="39" t="inlineStr">
        <is>
          <t>Rice Face Wash 100 ml</t>
        </is>
      </c>
      <c r="C84" s="40" t="inlineStr">
        <is>
          <t>Mamaearth</t>
        </is>
      </c>
      <c r="D84" s="40" t="inlineStr">
        <is>
          <t>Face</t>
        </is>
      </c>
      <c r="E84" s="39" t="inlineStr">
        <is>
          <t>G.V Enterprises</t>
        </is>
      </c>
      <c r="F84" s="41" t="inlineStr">
        <is>
          <t>South-1</t>
        </is>
      </c>
      <c r="G84" s="42" t="n">
        <v>0.3206</v>
      </c>
      <c r="H84" s="16">
        <f>IFERROR(G84/SUMIFS($G$4:$G$1504,$C$4:$C$1504,$C84,$D$4:$D$1504,$D84),0)</f>
        <v/>
      </c>
      <c r="I84" s="14">
        <f>$H84*SUMIFS('Forecast Engine'!$AK$4:$AK$12,'Forecast Engine'!$A$4:$A$12,$C84,'Forecast Engine'!$B$4:$B$12,$D84)</f>
        <v/>
      </c>
      <c r="J84" s="14">
        <f>$H84*SUMIFS('Forecast Engine'!$AL$4:$AL$12,'Forecast Engine'!$A$4:$A$12,$C84,'Forecast Engine'!$B$4:$B$12,$D84)</f>
        <v/>
      </c>
      <c r="K84" s="14">
        <f>$H84*SUMIFS('Forecast Engine'!$AM$4:$AM$12,'Forecast Engine'!$A$4:$A$12,$C84,'Forecast Engine'!$B$4:$B$12,$D84)</f>
        <v/>
      </c>
      <c r="L84" s="43">
        <f>SUM(I84:K84)</f>
        <v/>
      </c>
    </row>
    <row r="85">
      <c r="A85" s="39" t="inlineStr">
        <is>
          <t>10101163</t>
        </is>
      </c>
      <c r="B85" s="39" t="inlineStr">
        <is>
          <t>Rice Dewy Bright Face wash</t>
        </is>
      </c>
      <c r="C85" s="40" t="inlineStr">
        <is>
          <t>Mamaearth</t>
        </is>
      </c>
      <c r="D85" s="40" t="inlineStr">
        <is>
          <t>Face</t>
        </is>
      </c>
      <c r="E85" s="39" t="inlineStr">
        <is>
          <t>Kiran Trading Company-So</t>
        </is>
      </c>
      <c r="F85" s="41" t="inlineStr">
        <is>
          <t>West</t>
        </is>
      </c>
      <c r="G85" s="42" t="n">
        <v>0.311</v>
      </c>
      <c r="H85" s="16">
        <f>IFERROR(G85/SUMIFS($G$4:$G$1504,$C$4:$C$1504,$C85,$D$4:$D$1504,$D85),0)</f>
        <v/>
      </c>
      <c r="I85" s="14">
        <f>$H85*SUMIFS('Forecast Engine'!$AK$4:$AK$12,'Forecast Engine'!$A$4:$A$12,$C85,'Forecast Engine'!$B$4:$B$12,$D85)</f>
        <v/>
      </c>
      <c r="J85" s="14">
        <f>$H85*SUMIFS('Forecast Engine'!$AL$4:$AL$12,'Forecast Engine'!$A$4:$A$12,$C85,'Forecast Engine'!$B$4:$B$12,$D85)</f>
        <v/>
      </c>
      <c r="K85" s="14">
        <f>$H85*SUMIFS('Forecast Engine'!$AM$4:$AM$12,'Forecast Engine'!$A$4:$A$12,$C85,'Forecast Engine'!$B$4:$B$12,$D85)</f>
        <v/>
      </c>
      <c r="L85" s="43">
        <f>SUM(I85:K85)</f>
        <v/>
      </c>
    </row>
    <row r="86">
      <c r="A86" s="39" t="inlineStr">
        <is>
          <t>10101166</t>
        </is>
      </c>
      <c r="B86" s="39" t="inlineStr">
        <is>
          <t>Vitamin C Face Wash 150 ml</t>
        </is>
      </c>
      <c r="C86" s="40" t="inlineStr">
        <is>
          <t>Mamaearth</t>
        </is>
      </c>
      <c r="D86" s="40" t="inlineStr">
        <is>
          <t>Face</t>
        </is>
      </c>
      <c r="E86" s="39" t="inlineStr">
        <is>
          <t>Apollo Healthco</t>
        </is>
      </c>
      <c r="F86" s="41" t="inlineStr">
        <is>
          <t>East</t>
        </is>
      </c>
      <c r="G86" s="42" t="n">
        <v>0.3091</v>
      </c>
      <c r="H86" s="16">
        <f>IFERROR(G86/SUMIFS($G$4:$G$1504,$C$4:$C$1504,$C86,$D$4:$D$1504,$D86),0)</f>
        <v/>
      </c>
      <c r="I86" s="14">
        <f>$H86*SUMIFS('Forecast Engine'!$AK$4:$AK$12,'Forecast Engine'!$A$4:$A$12,$C86,'Forecast Engine'!$B$4:$B$12,$D86)</f>
        <v/>
      </c>
      <c r="J86" s="14">
        <f>$H86*SUMIFS('Forecast Engine'!$AL$4:$AL$12,'Forecast Engine'!$A$4:$A$12,$C86,'Forecast Engine'!$B$4:$B$12,$D86)</f>
        <v/>
      </c>
      <c r="K86" s="14">
        <f>$H86*SUMIFS('Forecast Engine'!$AM$4:$AM$12,'Forecast Engine'!$A$4:$A$12,$C86,'Forecast Engine'!$B$4:$B$12,$D86)</f>
        <v/>
      </c>
      <c r="L86" s="43">
        <f>SUM(I86:K86)</f>
        <v/>
      </c>
    </row>
    <row r="87">
      <c r="A87" s="39" t="inlineStr">
        <is>
          <t>10100618</t>
        </is>
      </c>
      <c r="B87" s="39" t="inlineStr">
        <is>
          <t>Rice Face Wash 100 ml</t>
        </is>
      </c>
      <c r="C87" s="40" t="inlineStr">
        <is>
          <t>Mamaearth</t>
        </is>
      </c>
      <c r="D87" s="40" t="inlineStr">
        <is>
          <t>Face</t>
        </is>
      </c>
      <c r="E87" s="39" t="inlineStr">
        <is>
          <t>Nykaa E-Retail Limited</t>
        </is>
      </c>
      <c r="F87" s="41" t="inlineStr">
        <is>
          <t>North</t>
        </is>
      </c>
      <c r="G87" s="42" t="n">
        <v>0.3068</v>
      </c>
      <c r="H87" s="16">
        <f>IFERROR(G87/SUMIFS($G$4:$G$1504,$C$4:$C$1504,$C87,$D$4:$D$1504,$D87),0)</f>
        <v/>
      </c>
      <c r="I87" s="14">
        <f>$H87*SUMIFS('Forecast Engine'!$AK$4:$AK$12,'Forecast Engine'!$A$4:$A$12,$C87,'Forecast Engine'!$B$4:$B$12,$D87)</f>
        <v/>
      </c>
      <c r="J87" s="14">
        <f>$H87*SUMIFS('Forecast Engine'!$AL$4:$AL$12,'Forecast Engine'!$A$4:$A$12,$C87,'Forecast Engine'!$B$4:$B$12,$D87)</f>
        <v/>
      </c>
      <c r="K87" s="14">
        <f>$H87*SUMIFS('Forecast Engine'!$AM$4:$AM$12,'Forecast Engine'!$A$4:$A$12,$C87,'Forecast Engine'!$B$4:$B$12,$D87)</f>
        <v/>
      </c>
      <c r="L87" s="43">
        <f>SUM(I87:K87)</f>
        <v/>
      </c>
    </row>
    <row r="88">
      <c r="A88" s="39" t="inlineStr">
        <is>
          <t>10100035</t>
        </is>
      </c>
      <c r="B88" s="39" t="inlineStr">
        <is>
          <t xml:space="preserve">ME Ubtan Natural Glow Face Wash With Turmeric &amp; </t>
        </is>
      </c>
      <c r="C88" s="40" t="inlineStr">
        <is>
          <t>Mamaearth</t>
        </is>
      </c>
      <c r="D88" s="40" t="inlineStr">
        <is>
          <t>Face</t>
        </is>
      </c>
      <c r="E88" s="39" t="inlineStr">
        <is>
          <t>D-Mart</t>
        </is>
      </c>
      <c r="F88" s="41" t="inlineStr">
        <is>
          <t>North</t>
        </is>
      </c>
      <c r="G88" s="42" t="n">
        <v>0.2939</v>
      </c>
      <c r="H88" s="16">
        <f>IFERROR(G88/SUMIFS($G$4:$G$1504,$C$4:$C$1504,$C88,$D$4:$D$1504,$D88),0)</f>
        <v/>
      </c>
      <c r="I88" s="14">
        <f>$H88*SUMIFS('Forecast Engine'!$AK$4:$AK$12,'Forecast Engine'!$A$4:$A$12,$C88,'Forecast Engine'!$B$4:$B$12,$D88)</f>
        <v/>
      </c>
      <c r="J88" s="14">
        <f>$H88*SUMIFS('Forecast Engine'!$AL$4:$AL$12,'Forecast Engine'!$A$4:$A$12,$C88,'Forecast Engine'!$B$4:$B$12,$D88)</f>
        <v/>
      </c>
      <c r="K88" s="14">
        <f>$H88*SUMIFS('Forecast Engine'!$AM$4:$AM$12,'Forecast Engine'!$A$4:$A$12,$C88,'Forecast Engine'!$B$4:$B$12,$D88)</f>
        <v/>
      </c>
      <c r="L88" s="43">
        <f>SUM(I88:K88)</f>
        <v/>
      </c>
    </row>
    <row r="89">
      <c r="A89" s="39" t="inlineStr"/>
      <c r="B89" s="39" t="inlineStr"/>
      <c r="C89" s="40" t="inlineStr">
        <is>
          <t>Mamaearth</t>
        </is>
      </c>
      <c r="D89" s="40" t="inlineStr">
        <is>
          <t>Face</t>
        </is>
      </c>
      <c r="E89" s="39" t="inlineStr">
        <is>
          <t>Arc Foods And Beverages</t>
        </is>
      </c>
      <c r="F89" s="41" t="inlineStr">
        <is>
          <t>South-1</t>
        </is>
      </c>
      <c r="G89" s="42" t="n">
        <v>0.2927</v>
      </c>
      <c r="H89" s="16">
        <f>IFERROR(G89/SUMIFS($G$4:$G$1504,$C$4:$C$1504,$C89,$D$4:$D$1504,$D89),0)</f>
        <v/>
      </c>
      <c r="I89" s="14">
        <f>$H89*SUMIFS('Forecast Engine'!$AK$4:$AK$12,'Forecast Engine'!$A$4:$A$12,$C89,'Forecast Engine'!$B$4:$B$12,$D89)</f>
        <v/>
      </c>
      <c r="J89" s="14">
        <f>$H89*SUMIFS('Forecast Engine'!$AL$4:$AL$12,'Forecast Engine'!$A$4:$A$12,$C89,'Forecast Engine'!$B$4:$B$12,$D89)</f>
        <v/>
      </c>
      <c r="K89" s="14">
        <f>$H89*SUMIFS('Forecast Engine'!$AM$4:$AM$12,'Forecast Engine'!$A$4:$A$12,$C89,'Forecast Engine'!$B$4:$B$12,$D89)</f>
        <v/>
      </c>
      <c r="L89" s="43">
        <f>SUM(I89:K89)</f>
        <v/>
      </c>
    </row>
    <row r="90">
      <c r="A90" s="39" t="inlineStr">
        <is>
          <t>10100912</t>
        </is>
      </c>
      <c r="B90" s="39" t="inlineStr">
        <is>
          <t>Vitamin C Daily Glow Sunscreen 50 g</t>
        </is>
      </c>
      <c r="C90" s="40" t="inlineStr">
        <is>
          <t>Mamaearth</t>
        </is>
      </c>
      <c r="D90" s="40" t="inlineStr">
        <is>
          <t>Face</t>
        </is>
      </c>
      <c r="E90" s="39" t="inlineStr">
        <is>
          <t>D-Mart</t>
        </is>
      </c>
      <c r="F90" s="41" t="inlineStr">
        <is>
          <t>North</t>
        </is>
      </c>
      <c r="G90" s="42" t="n">
        <v>0.2885</v>
      </c>
      <c r="H90" s="16">
        <f>IFERROR(G90/SUMIFS($G$4:$G$1504,$C$4:$C$1504,$C90,$D$4:$D$1504,$D90),0)</f>
        <v/>
      </c>
      <c r="I90" s="14">
        <f>$H90*SUMIFS('Forecast Engine'!$AK$4:$AK$12,'Forecast Engine'!$A$4:$A$12,$C90,'Forecast Engine'!$B$4:$B$12,$D90)</f>
        <v/>
      </c>
      <c r="J90" s="14">
        <f>$H90*SUMIFS('Forecast Engine'!$AL$4:$AL$12,'Forecast Engine'!$A$4:$A$12,$C90,'Forecast Engine'!$B$4:$B$12,$D90)</f>
        <v/>
      </c>
      <c r="K90" s="14">
        <f>$H90*SUMIFS('Forecast Engine'!$AM$4:$AM$12,'Forecast Engine'!$A$4:$A$12,$C90,'Forecast Engine'!$B$4:$B$12,$D90)</f>
        <v/>
      </c>
      <c r="L90" s="43">
        <f>SUM(I90:K90)</f>
        <v/>
      </c>
    </row>
    <row r="91">
      <c r="A91" s="39" t="inlineStr">
        <is>
          <t>10100121</t>
        </is>
      </c>
      <c r="B91" s="39" t="inlineStr">
        <is>
          <t xml:space="preserve">Vitamin C Face Wash with Vitamin C and Turmeric </t>
        </is>
      </c>
      <c r="C91" s="40" t="inlineStr">
        <is>
          <t>Mamaearth</t>
        </is>
      </c>
      <c r="D91" s="40" t="inlineStr">
        <is>
          <t>Face</t>
        </is>
      </c>
      <c r="E91" s="39" t="inlineStr">
        <is>
          <t>Reliance Retail Limited</t>
        </is>
      </c>
      <c r="F91" s="41" t="inlineStr">
        <is>
          <t>North</t>
        </is>
      </c>
      <c r="G91" s="42" t="n">
        <v>0.2854</v>
      </c>
      <c r="H91" s="16">
        <f>IFERROR(G91/SUMIFS($G$4:$G$1504,$C$4:$C$1504,$C91,$D$4:$D$1504,$D91),0)</f>
        <v/>
      </c>
      <c r="I91" s="14">
        <f>$H91*SUMIFS('Forecast Engine'!$AK$4:$AK$12,'Forecast Engine'!$A$4:$A$12,$C91,'Forecast Engine'!$B$4:$B$12,$D91)</f>
        <v/>
      </c>
      <c r="J91" s="14">
        <f>$H91*SUMIFS('Forecast Engine'!$AL$4:$AL$12,'Forecast Engine'!$A$4:$A$12,$C91,'Forecast Engine'!$B$4:$B$12,$D91)</f>
        <v/>
      </c>
      <c r="K91" s="14">
        <f>$H91*SUMIFS('Forecast Engine'!$AM$4:$AM$12,'Forecast Engine'!$A$4:$A$12,$C91,'Forecast Engine'!$B$4:$B$12,$D91)</f>
        <v/>
      </c>
      <c r="L91" s="43">
        <f>SUM(I91:K91)</f>
        <v/>
      </c>
    </row>
    <row r="92">
      <c r="A92" s="39" t="inlineStr">
        <is>
          <t>10101322</t>
        </is>
      </c>
      <c r="B92" s="39" t="inlineStr">
        <is>
          <t>Vitamin C Daily Glow Light Moisturizing Cream 20</t>
        </is>
      </c>
      <c r="C92" s="40" t="inlineStr">
        <is>
          <t>Mamaearth</t>
        </is>
      </c>
      <c r="D92" s="40" t="inlineStr">
        <is>
          <t>Face</t>
        </is>
      </c>
      <c r="E92" s="39" t="inlineStr">
        <is>
          <t>D-Mart</t>
        </is>
      </c>
      <c r="F92" s="41" t="inlineStr">
        <is>
          <t>North</t>
        </is>
      </c>
      <c r="G92" s="42" t="n">
        <v>0.2834</v>
      </c>
      <c r="H92" s="16">
        <f>IFERROR(G92/SUMIFS($G$4:$G$1504,$C$4:$C$1504,$C92,$D$4:$D$1504,$D92),0)</f>
        <v/>
      </c>
      <c r="I92" s="14">
        <f>$H92*SUMIFS('Forecast Engine'!$AK$4:$AK$12,'Forecast Engine'!$A$4:$A$12,$C92,'Forecast Engine'!$B$4:$B$12,$D92)</f>
        <v/>
      </c>
      <c r="J92" s="14">
        <f>$H92*SUMIFS('Forecast Engine'!$AL$4:$AL$12,'Forecast Engine'!$A$4:$A$12,$C92,'Forecast Engine'!$B$4:$B$12,$D92)</f>
        <v/>
      </c>
      <c r="K92" s="14">
        <f>$H92*SUMIFS('Forecast Engine'!$AM$4:$AM$12,'Forecast Engine'!$A$4:$A$12,$C92,'Forecast Engine'!$B$4:$B$12,$D92)</f>
        <v/>
      </c>
      <c r="L92" s="43">
        <f>SUM(I92:K92)</f>
        <v/>
      </c>
    </row>
    <row r="93">
      <c r="A93" s="39" t="inlineStr">
        <is>
          <t>10101272</t>
        </is>
      </c>
      <c r="B93" s="39" t="inlineStr">
        <is>
          <t>Rice Face Wash 50 ml</t>
        </is>
      </c>
      <c r="C93" s="40" t="inlineStr">
        <is>
          <t>Mamaearth</t>
        </is>
      </c>
      <c r="D93" s="40" t="inlineStr">
        <is>
          <t>Face</t>
        </is>
      </c>
      <c r="E93" s="39" t="inlineStr">
        <is>
          <t>Reliance Retail Limited</t>
        </is>
      </c>
      <c r="F93" s="41" t="inlineStr">
        <is>
          <t>North</t>
        </is>
      </c>
      <c r="G93" s="42" t="n">
        <v>0.2787</v>
      </c>
      <c r="H93" s="16">
        <f>IFERROR(G93/SUMIFS($G$4:$G$1504,$C$4:$C$1504,$C93,$D$4:$D$1504,$D93),0)</f>
        <v/>
      </c>
      <c r="I93" s="14">
        <f>$H93*SUMIFS('Forecast Engine'!$AK$4:$AK$12,'Forecast Engine'!$A$4:$A$12,$C93,'Forecast Engine'!$B$4:$B$12,$D93)</f>
        <v/>
      </c>
      <c r="J93" s="14">
        <f>$H93*SUMIFS('Forecast Engine'!$AL$4:$AL$12,'Forecast Engine'!$A$4:$A$12,$C93,'Forecast Engine'!$B$4:$B$12,$D93)</f>
        <v/>
      </c>
      <c r="K93" s="14">
        <f>$H93*SUMIFS('Forecast Engine'!$AM$4:$AM$12,'Forecast Engine'!$A$4:$A$12,$C93,'Forecast Engine'!$B$4:$B$12,$D93)</f>
        <v/>
      </c>
      <c r="L93" s="43">
        <f>SUM(I93:K93)</f>
        <v/>
      </c>
    </row>
    <row r="94">
      <c r="A94" s="39" t="inlineStr">
        <is>
          <t>10101163</t>
        </is>
      </c>
      <c r="B94" s="39" t="inlineStr">
        <is>
          <t>Rice Dewy Bright Face wash</t>
        </is>
      </c>
      <c r="C94" s="40" t="inlineStr">
        <is>
          <t>Mamaearth</t>
        </is>
      </c>
      <c r="D94" s="40" t="inlineStr">
        <is>
          <t>Face</t>
        </is>
      </c>
      <c r="E94" s="39" t="inlineStr">
        <is>
          <t>Balaji Associates Distri</t>
        </is>
      </c>
      <c r="F94" s="41" t="inlineStr">
        <is>
          <t>East</t>
        </is>
      </c>
      <c r="G94" s="42" t="n">
        <v>0.2772</v>
      </c>
      <c r="H94" s="16">
        <f>IFERROR(G94/SUMIFS($G$4:$G$1504,$C$4:$C$1504,$C94,$D$4:$D$1504,$D94),0)</f>
        <v/>
      </c>
      <c r="I94" s="14">
        <f>$H94*SUMIFS('Forecast Engine'!$AK$4:$AK$12,'Forecast Engine'!$A$4:$A$12,$C94,'Forecast Engine'!$B$4:$B$12,$D94)</f>
        <v/>
      </c>
      <c r="J94" s="14">
        <f>$H94*SUMIFS('Forecast Engine'!$AL$4:$AL$12,'Forecast Engine'!$A$4:$A$12,$C94,'Forecast Engine'!$B$4:$B$12,$D94)</f>
        <v/>
      </c>
      <c r="K94" s="14">
        <f>$H94*SUMIFS('Forecast Engine'!$AM$4:$AM$12,'Forecast Engine'!$A$4:$A$12,$C94,'Forecast Engine'!$B$4:$B$12,$D94)</f>
        <v/>
      </c>
      <c r="L94" s="43">
        <f>SUM(I94:K94)</f>
        <v/>
      </c>
    </row>
    <row r="95">
      <c r="A95" s="39" t="inlineStr">
        <is>
          <t>10100695</t>
        </is>
      </c>
      <c r="B95" s="39" t="inlineStr">
        <is>
          <t xml:space="preserve">ME Ubtan Natural Glow Face Wash With Turmeric &amp; </t>
        </is>
      </c>
      <c r="C95" s="40" t="inlineStr">
        <is>
          <t>Mamaearth</t>
        </is>
      </c>
      <c r="D95" s="40" t="inlineStr">
        <is>
          <t>Face</t>
        </is>
      </c>
      <c r="E95" s="39" t="inlineStr">
        <is>
          <t>Vanaja Agencies</t>
        </is>
      </c>
      <c r="F95" s="41" t="inlineStr">
        <is>
          <t>South-2</t>
        </is>
      </c>
      <c r="G95" s="42" t="n">
        <v>0.2765</v>
      </c>
      <c r="H95" s="16">
        <f>IFERROR(G95/SUMIFS($G$4:$G$1504,$C$4:$C$1504,$C95,$D$4:$D$1504,$D95),0)</f>
        <v/>
      </c>
      <c r="I95" s="14">
        <f>$H95*SUMIFS('Forecast Engine'!$AK$4:$AK$12,'Forecast Engine'!$A$4:$A$12,$C95,'Forecast Engine'!$B$4:$B$12,$D95)</f>
        <v/>
      </c>
      <c r="J95" s="14">
        <f>$H95*SUMIFS('Forecast Engine'!$AL$4:$AL$12,'Forecast Engine'!$A$4:$A$12,$C95,'Forecast Engine'!$B$4:$B$12,$D95)</f>
        <v/>
      </c>
      <c r="K95" s="14">
        <f>$H95*SUMIFS('Forecast Engine'!$AM$4:$AM$12,'Forecast Engine'!$A$4:$A$12,$C95,'Forecast Engine'!$B$4:$B$12,$D95)</f>
        <v/>
      </c>
      <c r="L95" s="43">
        <f>SUM(I95:K95)</f>
        <v/>
      </c>
    </row>
    <row r="96">
      <c r="A96" s="39" t="inlineStr">
        <is>
          <t>10101166</t>
        </is>
      </c>
      <c r="B96" s="39" t="inlineStr">
        <is>
          <t>Vitamin C Face Wash 150 ml</t>
        </is>
      </c>
      <c r="C96" s="40" t="inlineStr">
        <is>
          <t>Mamaearth</t>
        </is>
      </c>
      <c r="D96" s="40" t="inlineStr">
        <is>
          <t>Face</t>
        </is>
      </c>
      <c r="E96" s="39" t="inlineStr">
        <is>
          <t>Apollo Healthco</t>
        </is>
      </c>
      <c r="F96" s="41" t="inlineStr">
        <is>
          <t>South-2</t>
        </is>
      </c>
      <c r="G96" s="42" t="n">
        <v>0.2765</v>
      </c>
      <c r="H96" s="16">
        <f>IFERROR(G96/SUMIFS($G$4:$G$1504,$C$4:$C$1504,$C96,$D$4:$D$1504,$D96),0)</f>
        <v/>
      </c>
      <c r="I96" s="14">
        <f>$H96*SUMIFS('Forecast Engine'!$AK$4:$AK$12,'Forecast Engine'!$A$4:$A$12,$C96,'Forecast Engine'!$B$4:$B$12,$D96)</f>
        <v/>
      </c>
      <c r="J96" s="14">
        <f>$H96*SUMIFS('Forecast Engine'!$AL$4:$AL$12,'Forecast Engine'!$A$4:$A$12,$C96,'Forecast Engine'!$B$4:$B$12,$D96)</f>
        <v/>
      </c>
      <c r="K96" s="14">
        <f>$H96*SUMIFS('Forecast Engine'!$AM$4:$AM$12,'Forecast Engine'!$A$4:$A$12,$C96,'Forecast Engine'!$B$4:$B$12,$D96)</f>
        <v/>
      </c>
      <c r="L96" s="43">
        <f>SUM(I96:K96)</f>
        <v/>
      </c>
    </row>
    <row r="97">
      <c r="A97" s="39" t="inlineStr">
        <is>
          <t>10100695</t>
        </is>
      </c>
      <c r="B97" s="39" t="inlineStr">
        <is>
          <t xml:space="preserve">ME Ubtan Natural Glow Face Wash With Turmeric &amp; </t>
        </is>
      </c>
      <c r="C97" s="40" t="inlineStr">
        <is>
          <t>Mamaearth</t>
        </is>
      </c>
      <c r="D97" s="40" t="inlineStr">
        <is>
          <t>Face</t>
        </is>
      </c>
      <c r="E97" s="39" t="inlineStr">
        <is>
          <t>D-Mart</t>
        </is>
      </c>
      <c r="F97" s="41" t="inlineStr">
        <is>
          <t>South-2</t>
        </is>
      </c>
      <c r="G97" s="42" t="n">
        <v>0.2763</v>
      </c>
      <c r="H97" s="16">
        <f>IFERROR(G97/SUMIFS($G$4:$G$1504,$C$4:$C$1504,$C97,$D$4:$D$1504,$D97),0)</f>
        <v/>
      </c>
      <c r="I97" s="14">
        <f>$H97*SUMIFS('Forecast Engine'!$AK$4:$AK$12,'Forecast Engine'!$A$4:$A$12,$C97,'Forecast Engine'!$B$4:$B$12,$D97)</f>
        <v/>
      </c>
      <c r="J97" s="14">
        <f>$H97*SUMIFS('Forecast Engine'!$AL$4:$AL$12,'Forecast Engine'!$A$4:$A$12,$C97,'Forecast Engine'!$B$4:$B$12,$D97)</f>
        <v/>
      </c>
      <c r="K97" s="14">
        <f>$H97*SUMIFS('Forecast Engine'!$AM$4:$AM$12,'Forecast Engine'!$A$4:$A$12,$C97,'Forecast Engine'!$B$4:$B$12,$D97)</f>
        <v/>
      </c>
      <c r="L97" s="43">
        <f>SUM(I97:K97)</f>
        <v/>
      </c>
    </row>
    <row r="98">
      <c r="A98" s="39" t="inlineStr">
        <is>
          <t>10100618</t>
        </is>
      </c>
      <c r="B98" s="39" t="inlineStr">
        <is>
          <t>Rice Face Wash 100 ml</t>
        </is>
      </c>
      <c r="C98" s="40" t="inlineStr">
        <is>
          <t>Mamaearth</t>
        </is>
      </c>
      <c r="D98" s="40" t="inlineStr">
        <is>
          <t>Face</t>
        </is>
      </c>
      <c r="E98" s="39" t="inlineStr">
        <is>
          <t>Wellness Forever</t>
        </is>
      </c>
      <c r="F98" s="41" t="inlineStr">
        <is>
          <t>West</t>
        </is>
      </c>
      <c r="G98" s="42" t="n">
        <v>0.2731</v>
      </c>
      <c r="H98" s="16">
        <f>IFERROR(G98/SUMIFS($G$4:$G$1504,$C$4:$C$1504,$C98,$D$4:$D$1504,$D98),0)</f>
        <v/>
      </c>
      <c r="I98" s="14">
        <f>$H98*SUMIFS('Forecast Engine'!$AK$4:$AK$12,'Forecast Engine'!$A$4:$A$12,$C98,'Forecast Engine'!$B$4:$B$12,$D98)</f>
        <v/>
      </c>
      <c r="J98" s="14">
        <f>$H98*SUMIFS('Forecast Engine'!$AL$4:$AL$12,'Forecast Engine'!$A$4:$A$12,$C98,'Forecast Engine'!$B$4:$B$12,$D98)</f>
        <v/>
      </c>
      <c r="K98" s="14">
        <f>$H98*SUMIFS('Forecast Engine'!$AM$4:$AM$12,'Forecast Engine'!$A$4:$A$12,$C98,'Forecast Engine'!$B$4:$B$12,$D98)</f>
        <v/>
      </c>
      <c r="L98" s="43">
        <f>SUM(I98:K98)</f>
        <v/>
      </c>
    </row>
    <row r="99">
      <c r="A99" s="39" t="inlineStr">
        <is>
          <t>10100062</t>
        </is>
      </c>
      <c r="B99" s="39" t="inlineStr">
        <is>
          <t>Mamaearth Ultra Light Indian Sunscreen with Carr</t>
        </is>
      </c>
      <c r="C99" s="40" t="inlineStr">
        <is>
          <t>Mamaearth</t>
        </is>
      </c>
      <c r="D99" s="40" t="inlineStr">
        <is>
          <t>Face</t>
        </is>
      </c>
      <c r="E99" s="39" t="inlineStr">
        <is>
          <t>Reliance Retail Limited</t>
        </is>
      </c>
      <c r="F99" s="41" t="inlineStr">
        <is>
          <t>East</t>
        </is>
      </c>
      <c r="G99" s="42" t="n">
        <v>0.271</v>
      </c>
      <c r="H99" s="16">
        <f>IFERROR(G99/SUMIFS($G$4:$G$1504,$C$4:$C$1504,$C99,$D$4:$D$1504,$D99),0)</f>
        <v/>
      </c>
      <c r="I99" s="14">
        <f>$H99*SUMIFS('Forecast Engine'!$AK$4:$AK$12,'Forecast Engine'!$A$4:$A$12,$C99,'Forecast Engine'!$B$4:$B$12,$D99)</f>
        <v/>
      </c>
      <c r="J99" s="14">
        <f>$H99*SUMIFS('Forecast Engine'!$AL$4:$AL$12,'Forecast Engine'!$A$4:$A$12,$C99,'Forecast Engine'!$B$4:$B$12,$D99)</f>
        <v/>
      </c>
      <c r="K99" s="14">
        <f>$H99*SUMIFS('Forecast Engine'!$AM$4:$AM$12,'Forecast Engine'!$A$4:$A$12,$C99,'Forecast Engine'!$B$4:$B$12,$D99)</f>
        <v/>
      </c>
      <c r="L99" s="43">
        <f>SUM(I99:K99)</f>
        <v/>
      </c>
    </row>
    <row r="100">
      <c r="A100" s="39" t="inlineStr">
        <is>
          <t>10100912</t>
        </is>
      </c>
      <c r="B100" s="39" t="inlineStr">
        <is>
          <t>Vitamin C Daily Glow Sunscreen 50 g</t>
        </is>
      </c>
      <c r="C100" s="40" t="inlineStr">
        <is>
          <t>Mamaearth</t>
        </is>
      </c>
      <c r="D100" s="40" t="inlineStr">
        <is>
          <t>Face</t>
        </is>
      </c>
      <c r="E100" s="39" t="inlineStr">
        <is>
          <t>Nykaa E-Retail Limited</t>
        </is>
      </c>
      <c r="F100" s="41" t="inlineStr">
        <is>
          <t>East</t>
        </is>
      </c>
      <c r="G100" s="42" t="n">
        <v>0.2663</v>
      </c>
      <c r="H100" s="16">
        <f>IFERROR(G100/SUMIFS($G$4:$G$1504,$C$4:$C$1504,$C100,$D$4:$D$1504,$D100),0)</f>
        <v/>
      </c>
      <c r="I100" s="14">
        <f>$H100*SUMIFS('Forecast Engine'!$AK$4:$AK$12,'Forecast Engine'!$A$4:$A$12,$C100,'Forecast Engine'!$B$4:$B$12,$D100)</f>
        <v/>
      </c>
      <c r="J100" s="14">
        <f>$H100*SUMIFS('Forecast Engine'!$AL$4:$AL$12,'Forecast Engine'!$A$4:$A$12,$C100,'Forecast Engine'!$B$4:$B$12,$D100)</f>
        <v/>
      </c>
      <c r="K100" s="14">
        <f>$H100*SUMIFS('Forecast Engine'!$AM$4:$AM$12,'Forecast Engine'!$A$4:$A$12,$C100,'Forecast Engine'!$B$4:$B$12,$D100)</f>
        <v/>
      </c>
      <c r="L100" s="43">
        <f>SUM(I100:K100)</f>
        <v/>
      </c>
    </row>
    <row r="101">
      <c r="A101" s="39" t="inlineStr">
        <is>
          <t>10101166</t>
        </is>
      </c>
      <c r="B101" s="39" t="inlineStr">
        <is>
          <t>Vitamin C Face Wash 150 ml</t>
        </is>
      </c>
      <c r="C101" s="40" t="inlineStr">
        <is>
          <t>Mamaearth</t>
        </is>
      </c>
      <c r="D101" s="40" t="inlineStr">
        <is>
          <t>Face</t>
        </is>
      </c>
      <c r="E101" s="39" t="inlineStr">
        <is>
          <t>Apollo Healthco</t>
        </is>
      </c>
      <c r="F101" s="41" t="inlineStr">
        <is>
          <t>North</t>
        </is>
      </c>
      <c r="G101" s="42" t="n">
        <v>0.264</v>
      </c>
      <c r="H101" s="16">
        <f>IFERROR(G101/SUMIFS($G$4:$G$1504,$C$4:$C$1504,$C101,$D$4:$D$1504,$D101),0)</f>
        <v/>
      </c>
      <c r="I101" s="14">
        <f>$H101*SUMIFS('Forecast Engine'!$AK$4:$AK$12,'Forecast Engine'!$A$4:$A$12,$C101,'Forecast Engine'!$B$4:$B$12,$D101)</f>
        <v/>
      </c>
      <c r="J101" s="14">
        <f>$H101*SUMIFS('Forecast Engine'!$AL$4:$AL$12,'Forecast Engine'!$A$4:$A$12,$C101,'Forecast Engine'!$B$4:$B$12,$D101)</f>
        <v/>
      </c>
      <c r="K101" s="14">
        <f>$H101*SUMIFS('Forecast Engine'!$AM$4:$AM$12,'Forecast Engine'!$A$4:$A$12,$C101,'Forecast Engine'!$B$4:$B$12,$D101)</f>
        <v/>
      </c>
      <c r="L101" s="43">
        <f>SUM(I101:K101)</f>
        <v/>
      </c>
    </row>
    <row r="102">
      <c r="A102" s="39" t="inlineStr">
        <is>
          <t>10100912</t>
        </is>
      </c>
      <c r="B102" s="39" t="inlineStr">
        <is>
          <t>Vitamin C Daily Glow Sunscreen 50 g</t>
        </is>
      </c>
      <c r="C102" s="40" t="inlineStr">
        <is>
          <t>Mamaearth</t>
        </is>
      </c>
      <c r="D102" s="40" t="inlineStr">
        <is>
          <t>Face</t>
        </is>
      </c>
      <c r="E102" s="39" t="inlineStr">
        <is>
          <t>G.V Enterprises</t>
        </is>
      </c>
      <c r="F102" s="41" t="inlineStr">
        <is>
          <t>South-1</t>
        </is>
      </c>
      <c r="G102" s="42" t="n">
        <v>0.2628</v>
      </c>
      <c r="H102" s="16">
        <f>IFERROR(G102/SUMIFS($G$4:$G$1504,$C$4:$C$1504,$C102,$D$4:$D$1504,$D102),0)</f>
        <v/>
      </c>
      <c r="I102" s="14">
        <f>$H102*SUMIFS('Forecast Engine'!$AK$4:$AK$12,'Forecast Engine'!$A$4:$A$12,$C102,'Forecast Engine'!$B$4:$B$12,$D102)</f>
        <v/>
      </c>
      <c r="J102" s="14">
        <f>$H102*SUMIFS('Forecast Engine'!$AL$4:$AL$12,'Forecast Engine'!$A$4:$A$12,$C102,'Forecast Engine'!$B$4:$B$12,$D102)</f>
        <v/>
      </c>
      <c r="K102" s="14">
        <f>$H102*SUMIFS('Forecast Engine'!$AM$4:$AM$12,'Forecast Engine'!$A$4:$A$12,$C102,'Forecast Engine'!$B$4:$B$12,$D102)</f>
        <v/>
      </c>
      <c r="L102" s="43">
        <f>SUM(I102:K102)</f>
        <v/>
      </c>
    </row>
    <row r="103">
      <c r="A103" s="39" t="inlineStr">
        <is>
          <t>10101166</t>
        </is>
      </c>
      <c r="B103" s="39" t="inlineStr">
        <is>
          <t>Vitamin C Face Wash 150 ml</t>
        </is>
      </c>
      <c r="C103" s="40" t="inlineStr">
        <is>
          <t>Mamaearth</t>
        </is>
      </c>
      <c r="D103" s="40" t="inlineStr">
        <is>
          <t>Face</t>
        </is>
      </c>
      <c r="E103" s="39" t="inlineStr">
        <is>
          <t>D-Mart</t>
        </is>
      </c>
      <c r="F103" s="41" t="inlineStr">
        <is>
          <t>North</t>
        </is>
      </c>
      <c r="G103" s="42" t="n">
        <v>0.2546</v>
      </c>
      <c r="H103" s="16">
        <f>IFERROR(G103/SUMIFS($G$4:$G$1504,$C$4:$C$1504,$C103,$D$4:$D$1504,$D103),0)</f>
        <v/>
      </c>
      <c r="I103" s="14">
        <f>$H103*SUMIFS('Forecast Engine'!$AK$4:$AK$12,'Forecast Engine'!$A$4:$A$12,$C103,'Forecast Engine'!$B$4:$B$12,$D103)</f>
        <v/>
      </c>
      <c r="J103" s="14">
        <f>$H103*SUMIFS('Forecast Engine'!$AL$4:$AL$12,'Forecast Engine'!$A$4:$A$12,$C103,'Forecast Engine'!$B$4:$B$12,$D103)</f>
        <v/>
      </c>
      <c r="K103" s="14">
        <f>$H103*SUMIFS('Forecast Engine'!$AM$4:$AM$12,'Forecast Engine'!$A$4:$A$12,$C103,'Forecast Engine'!$B$4:$B$12,$D103)</f>
        <v/>
      </c>
      <c r="L103" s="43">
        <f>SUM(I103:K103)</f>
        <v/>
      </c>
    </row>
    <row r="104">
      <c r="A104" s="39" t="inlineStr">
        <is>
          <t>10101163</t>
        </is>
      </c>
      <c r="B104" s="39" t="inlineStr">
        <is>
          <t>Rice Dewy Bright Face wash</t>
        </is>
      </c>
      <c r="C104" s="40" t="inlineStr">
        <is>
          <t>Mamaearth</t>
        </is>
      </c>
      <c r="D104" s="40" t="inlineStr">
        <is>
          <t>Face</t>
        </is>
      </c>
      <c r="E104" s="39" t="inlineStr">
        <is>
          <t>Vanaja Agencies</t>
        </is>
      </c>
      <c r="F104" s="41" t="inlineStr">
        <is>
          <t>South-2</t>
        </is>
      </c>
      <c r="G104" s="42" t="n">
        <v>0.2541</v>
      </c>
      <c r="H104" s="16">
        <f>IFERROR(G104/SUMIFS($G$4:$G$1504,$C$4:$C$1504,$C104,$D$4:$D$1504,$D104),0)</f>
        <v/>
      </c>
      <c r="I104" s="14">
        <f>$H104*SUMIFS('Forecast Engine'!$AK$4:$AK$12,'Forecast Engine'!$A$4:$A$12,$C104,'Forecast Engine'!$B$4:$B$12,$D104)</f>
        <v/>
      </c>
      <c r="J104" s="14">
        <f>$H104*SUMIFS('Forecast Engine'!$AL$4:$AL$12,'Forecast Engine'!$A$4:$A$12,$C104,'Forecast Engine'!$B$4:$B$12,$D104)</f>
        <v/>
      </c>
      <c r="K104" s="14">
        <f>$H104*SUMIFS('Forecast Engine'!$AM$4:$AM$12,'Forecast Engine'!$A$4:$A$12,$C104,'Forecast Engine'!$B$4:$B$12,$D104)</f>
        <v/>
      </c>
      <c r="L104" s="43">
        <f>SUM(I104:K104)</f>
        <v/>
      </c>
    </row>
    <row r="105">
      <c r="A105" s="39" t="inlineStr">
        <is>
          <t>(various)</t>
        </is>
      </c>
      <c r="B105" s="39" t="inlineStr">
        <is>
          <t>Long-tail articles &amp; chains (residual)</t>
        </is>
      </c>
      <c r="C105" s="40" t="inlineStr">
        <is>
          <t>Mamaearth</t>
        </is>
      </c>
      <c r="D105" s="40" t="inlineStr">
        <is>
          <t>Face</t>
        </is>
      </c>
      <c r="E105" s="39" t="inlineStr">
        <is>
          <t>(all other chains)</t>
        </is>
      </c>
      <c r="F105" s="41" t="inlineStr">
        <is>
          <t>(mixed)</t>
        </is>
      </c>
      <c r="G105" s="42" t="n">
        <v>45.0448</v>
      </c>
      <c r="H105" s="16">
        <f>IFERROR(G105/SUMIFS($G$4:$G$1504,$C$4:$C$1504,$C105,$D$4:$D$1504,$D105),0)</f>
        <v/>
      </c>
      <c r="I105" s="14">
        <f>$H105*SUMIFS('Forecast Engine'!$AK$4:$AK$12,'Forecast Engine'!$A$4:$A$12,$C105,'Forecast Engine'!$B$4:$B$12,$D105)</f>
        <v/>
      </c>
      <c r="J105" s="14">
        <f>$H105*SUMIFS('Forecast Engine'!$AL$4:$AL$12,'Forecast Engine'!$A$4:$A$12,$C105,'Forecast Engine'!$B$4:$B$12,$D105)</f>
        <v/>
      </c>
      <c r="K105" s="14">
        <f>$H105*SUMIFS('Forecast Engine'!$AM$4:$AM$12,'Forecast Engine'!$A$4:$A$12,$C105,'Forecast Engine'!$B$4:$B$12,$D105)</f>
        <v/>
      </c>
      <c r="L105" s="43">
        <f>SUM(I105:K105)</f>
        <v/>
      </c>
    </row>
    <row r="106">
      <c r="A106" s="39" t="inlineStr"/>
      <c r="B106" s="39" t="inlineStr"/>
      <c r="C106" s="40" t="inlineStr">
        <is>
          <t>Mamaearth</t>
        </is>
      </c>
      <c r="D106" s="40" t="inlineStr">
        <is>
          <t>Hair</t>
        </is>
      </c>
      <c r="E106" s="39" t="inlineStr">
        <is>
          <t>Reliance Retail Limited</t>
        </is>
      </c>
      <c r="F106" s="41" t="inlineStr">
        <is>
          <t>North</t>
        </is>
      </c>
      <c r="G106" s="42" t="n">
        <v>3.1365</v>
      </c>
      <c r="H106" s="16">
        <f>IFERROR(G106/SUMIFS($G$4:$G$1504,$C$4:$C$1504,$C106,$D$4:$D$1504,$D106),0)</f>
        <v/>
      </c>
      <c r="I106" s="14">
        <f>$H106*SUMIFS('Forecast Engine'!$AK$4:$AK$12,'Forecast Engine'!$A$4:$A$12,$C106,'Forecast Engine'!$B$4:$B$12,$D106)</f>
        <v/>
      </c>
      <c r="J106" s="14">
        <f>$H106*SUMIFS('Forecast Engine'!$AL$4:$AL$12,'Forecast Engine'!$A$4:$A$12,$C106,'Forecast Engine'!$B$4:$B$12,$D106)</f>
        <v/>
      </c>
      <c r="K106" s="14">
        <f>$H106*SUMIFS('Forecast Engine'!$AM$4:$AM$12,'Forecast Engine'!$A$4:$A$12,$C106,'Forecast Engine'!$B$4:$B$12,$D106)</f>
        <v/>
      </c>
      <c r="L106" s="43">
        <f>SUM(I106:K106)</f>
        <v/>
      </c>
    </row>
    <row r="107">
      <c r="A107" s="39" t="inlineStr"/>
      <c r="B107" s="39" t="inlineStr"/>
      <c r="C107" s="40" t="inlineStr">
        <is>
          <t>Mamaearth</t>
        </is>
      </c>
      <c r="D107" s="40" t="inlineStr">
        <is>
          <t>Hair</t>
        </is>
      </c>
      <c r="E107" s="39" t="inlineStr">
        <is>
          <t>Reliance Retail Limited</t>
        </is>
      </c>
      <c r="F107" s="41" t="inlineStr">
        <is>
          <t>East</t>
        </is>
      </c>
      <c r="G107" s="42" t="n">
        <v>2.6585</v>
      </c>
      <c r="H107" s="16">
        <f>IFERROR(G107/SUMIFS($G$4:$G$1504,$C$4:$C$1504,$C107,$D$4:$D$1504,$D107),0)</f>
        <v/>
      </c>
      <c r="I107" s="14">
        <f>$H107*SUMIFS('Forecast Engine'!$AK$4:$AK$12,'Forecast Engine'!$A$4:$A$12,$C107,'Forecast Engine'!$B$4:$B$12,$D107)</f>
        <v/>
      </c>
      <c r="J107" s="14">
        <f>$H107*SUMIFS('Forecast Engine'!$AL$4:$AL$12,'Forecast Engine'!$A$4:$A$12,$C107,'Forecast Engine'!$B$4:$B$12,$D107)</f>
        <v/>
      </c>
      <c r="K107" s="14">
        <f>$H107*SUMIFS('Forecast Engine'!$AM$4:$AM$12,'Forecast Engine'!$A$4:$A$12,$C107,'Forecast Engine'!$B$4:$B$12,$D107)</f>
        <v/>
      </c>
      <c r="L107" s="43">
        <f>SUM(I107:K107)</f>
        <v/>
      </c>
    </row>
    <row r="108">
      <c r="A108" s="39" t="inlineStr"/>
      <c r="B108" s="39" t="inlineStr"/>
      <c r="C108" s="40" t="inlineStr">
        <is>
          <t>Mamaearth</t>
        </is>
      </c>
      <c r="D108" s="40" t="inlineStr">
        <is>
          <t>Hair</t>
        </is>
      </c>
      <c r="E108" s="39" t="inlineStr">
        <is>
          <t>D-Mart</t>
        </is>
      </c>
      <c r="F108" s="41" t="inlineStr">
        <is>
          <t>North</t>
        </is>
      </c>
      <c r="G108" s="42" t="n">
        <v>2.2456</v>
      </c>
      <c r="H108" s="16">
        <f>IFERROR(G108/SUMIFS($G$4:$G$1504,$C$4:$C$1504,$C108,$D$4:$D$1504,$D108),0)</f>
        <v/>
      </c>
      <c r="I108" s="14">
        <f>$H108*SUMIFS('Forecast Engine'!$AK$4:$AK$12,'Forecast Engine'!$A$4:$A$12,$C108,'Forecast Engine'!$B$4:$B$12,$D108)</f>
        <v/>
      </c>
      <c r="J108" s="14">
        <f>$H108*SUMIFS('Forecast Engine'!$AL$4:$AL$12,'Forecast Engine'!$A$4:$A$12,$C108,'Forecast Engine'!$B$4:$B$12,$D108)</f>
        <v/>
      </c>
      <c r="K108" s="14">
        <f>$H108*SUMIFS('Forecast Engine'!$AM$4:$AM$12,'Forecast Engine'!$A$4:$A$12,$C108,'Forecast Engine'!$B$4:$B$12,$D108)</f>
        <v/>
      </c>
      <c r="L108" s="43">
        <f>SUM(I108:K108)</f>
        <v/>
      </c>
    </row>
    <row r="109">
      <c r="A109" s="39" t="inlineStr">
        <is>
          <t>10100099</t>
        </is>
      </c>
      <c r="B109" s="39" t="inlineStr">
        <is>
          <t>Onion Shampoo for Hair Growth and Hair Fall Cont</t>
        </is>
      </c>
      <c r="C109" s="40" t="inlineStr">
        <is>
          <t>Mamaearth</t>
        </is>
      </c>
      <c r="D109" s="40" t="inlineStr">
        <is>
          <t>Hair</t>
        </is>
      </c>
      <c r="E109" s="39" t="inlineStr">
        <is>
          <t>Reliance Retail Limited</t>
        </is>
      </c>
      <c r="F109" s="41" t="inlineStr">
        <is>
          <t>North</t>
        </is>
      </c>
      <c r="G109" s="42" t="n">
        <v>2.1047</v>
      </c>
      <c r="H109" s="16">
        <f>IFERROR(G109/SUMIFS($G$4:$G$1504,$C$4:$C$1504,$C109,$D$4:$D$1504,$D109),0)</f>
        <v/>
      </c>
      <c r="I109" s="14">
        <f>$H109*SUMIFS('Forecast Engine'!$AK$4:$AK$12,'Forecast Engine'!$A$4:$A$12,$C109,'Forecast Engine'!$B$4:$B$12,$D109)</f>
        <v/>
      </c>
      <c r="J109" s="14">
        <f>$H109*SUMIFS('Forecast Engine'!$AL$4:$AL$12,'Forecast Engine'!$A$4:$A$12,$C109,'Forecast Engine'!$B$4:$B$12,$D109)</f>
        <v/>
      </c>
      <c r="K109" s="14">
        <f>$H109*SUMIFS('Forecast Engine'!$AM$4:$AM$12,'Forecast Engine'!$A$4:$A$12,$C109,'Forecast Engine'!$B$4:$B$12,$D109)</f>
        <v/>
      </c>
      <c r="L109" s="43">
        <f>SUM(I109:K109)</f>
        <v/>
      </c>
    </row>
    <row r="110">
      <c r="A110" s="39" t="inlineStr"/>
      <c r="B110" s="39" t="inlineStr"/>
      <c r="C110" s="40" t="inlineStr">
        <is>
          <t>Mamaearth</t>
        </is>
      </c>
      <c r="D110" s="40" t="inlineStr">
        <is>
          <t>Hair</t>
        </is>
      </c>
      <c r="E110" s="39" t="inlineStr">
        <is>
          <t>D-Mart</t>
        </is>
      </c>
      <c r="F110" s="41" t="inlineStr">
        <is>
          <t>West</t>
        </is>
      </c>
      <c r="G110" s="42" t="n">
        <v>1.9348</v>
      </c>
      <c r="H110" s="16">
        <f>IFERROR(G110/SUMIFS($G$4:$G$1504,$C$4:$C$1504,$C110,$D$4:$D$1504,$D110),0)</f>
        <v/>
      </c>
      <c r="I110" s="14">
        <f>$H110*SUMIFS('Forecast Engine'!$AK$4:$AK$12,'Forecast Engine'!$A$4:$A$12,$C110,'Forecast Engine'!$B$4:$B$12,$D110)</f>
        <v/>
      </c>
      <c r="J110" s="14">
        <f>$H110*SUMIFS('Forecast Engine'!$AL$4:$AL$12,'Forecast Engine'!$A$4:$A$12,$C110,'Forecast Engine'!$B$4:$B$12,$D110)</f>
        <v/>
      </c>
      <c r="K110" s="14">
        <f>$H110*SUMIFS('Forecast Engine'!$AM$4:$AM$12,'Forecast Engine'!$A$4:$A$12,$C110,'Forecast Engine'!$B$4:$B$12,$D110)</f>
        <v/>
      </c>
      <c r="L110" s="43">
        <f>SUM(I110:K110)</f>
        <v/>
      </c>
    </row>
    <row r="111">
      <c r="A111" s="39" t="inlineStr"/>
      <c r="B111" s="39" t="inlineStr"/>
      <c r="C111" s="40" t="inlineStr">
        <is>
          <t>Mamaearth</t>
        </is>
      </c>
      <c r="D111" s="40" t="inlineStr">
        <is>
          <t>Hair</t>
        </is>
      </c>
      <c r="E111" s="39" t="inlineStr">
        <is>
          <t>Vanaja Agencies</t>
        </is>
      </c>
      <c r="F111" s="41" t="inlineStr">
        <is>
          <t>South-2</t>
        </is>
      </c>
      <c r="G111" s="42" t="n">
        <v>1.899</v>
      </c>
      <c r="H111" s="16">
        <f>IFERROR(G111/SUMIFS($G$4:$G$1504,$C$4:$C$1504,$C111,$D$4:$D$1504,$D111),0)</f>
        <v/>
      </c>
      <c r="I111" s="14">
        <f>$H111*SUMIFS('Forecast Engine'!$AK$4:$AK$12,'Forecast Engine'!$A$4:$A$12,$C111,'Forecast Engine'!$B$4:$B$12,$D111)</f>
        <v/>
      </c>
      <c r="J111" s="14">
        <f>$H111*SUMIFS('Forecast Engine'!$AL$4:$AL$12,'Forecast Engine'!$A$4:$A$12,$C111,'Forecast Engine'!$B$4:$B$12,$D111)</f>
        <v/>
      </c>
      <c r="K111" s="14">
        <f>$H111*SUMIFS('Forecast Engine'!$AM$4:$AM$12,'Forecast Engine'!$A$4:$A$12,$C111,'Forecast Engine'!$B$4:$B$12,$D111)</f>
        <v/>
      </c>
      <c r="L111" s="43">
        <f>SUM(I111:K111)</f>
        <v/>
      </c>
    </row>
    <row r="112">
      <c r="A112" s="39" t="inlineStr"/>
      <c r="B112" s="39" t="inlineStr"/>
      <c r="C112" s="40" t="inlineStr">
        <is>
          <t>Mamaearth</t>
        </is>
      </c>
      <c r="D112" s="40" t="inlineStr">
        <is>
          <t>Hair</t>
        </is>
      </c>
      <c r="E112" s="39" t="inlineStr">
        <is>
          <t>JUST MARK-Dmart</t>
        </is>
      </c>
      <c r="F112" s="41" t="inlineStr">
        <is>
          <t>West</t>
        </is>
      </c>
      <c r="G112" s="42" t="n">
        <v>1.7144</v>
      </c>
      <c r="H112" s="16">
        <f>IFERROR(G112/SUMIFS($G$4:$G$1504,$C$4:$C$1504,$C112,$D$4:$D$1504,$D112),0)</f>
        <v/>
      </c>
      <c r="I112" s="14">
        <f>$H112*SUMIFS('Forecast Engine'!$AK$4:$AK$12,'Forecast Engine'!$A$4:$A$12,$C112,'Forecast Engine'!$B$4:$B$12,$D112)</f>
        <v/>
      </c>
      <c r="J112" s="14">
        <f>$H112*SUMIFS('Forecast Engine'!$AL$4:$AL$12,'Forecast Engine'!$A$4:$A$12,$C112,'Forecast Engine'!$B$4:$B$12,$D112)</f>
        <v/>
      </c>
      <c r="K112" s="14">
        <f>$H112*SUMIFS('Forecast Engine'!$AM$4:$AM$12,'Forecast Engine'!$A$4:$A$12,$C112,'Forecast Engine'!$B$4:$B$12,$D112)</f>
        <v/>
      </c>
      <c r="L112" s="43">
        <f>SUM(I112:K112)</f>
        <v/>
      </c>
    </row>
    <row r="113">
      <c r="A113" s="39" t="inlineStr"/>
      <c r="B113" s="39" t="inlineStr"/>
      <c r="C113" s="40" t="inlineStr">
        <is>
          <t>Mamaearth</t>
        </is>
      </c>
      <c r="D113" s="40" t="inlineStr">
        <is>
          <t>Hair</t>
        </is>
      </c>
      <c r="E113" s="39" t="inlineStr">
        <is>
          <t>Reliance Retail Limited</t>
        </is>
      </c>
      <c r="F113" s="41" t="inlineStr">
        <is>
          <t>South-1</t>
        </is>
      </c>
      <c r="G113" s="42" t="n">
        <v>1.6662</v>
      </c>
      <c r="H113" s="16">
        <f>IFERROR(G113/SUMIFS($G$4:$G$1504,$C$4:$C$1504,$C113,$D$4:$D$1504,$D113),0)</f>
        <v/>
      </c>
      <c r="I113" s="14">
        <f>$H113*SUMIFS('Forecast Engine'!$AK$4:$AK$12,'Forecast Engine'!$A$4:$A$12,$C113,'Forecast Engine'!$B$4:$B$12,$D113)</f>
        <v/>
      </c>
      <c r="J113" s="14">
        <f>$H113*SUMIFS('Forecast Engine'!$AL$4:$AL$12,'Forecast Engine'!$A$4:$A$12,$C113,'Forecast Engine'!$B$4:$B$12,$D113)</f>
        <v/>
      </c>
      <c r="K113" s="14">
        <f>$H113*SUMIFS('Forecast Engine'!$AM$4:$AM$12,'Forecast Engine'!$A$4:$A$12,$C113,'Forecast Engine'!$B$4:$B$12,$D113)</f>
        <v/>
      </c>
      <c r="L113" s="43">
        <f>SUM(I113:K113)</f>
        <v/>
      </c>
    </row>
    <row r="114">
      <c r="A114" s="39" t="inlineStr"/>
      <c r="B114" s="39" t="inlineStr"/>
      <c r="C114" s="40" t="inlineStr">
        <is>
          <t>Mamaearth</t>
        </is>
      </c>
      <c r="D114" s="40" t="inlineStr">
        <is>
          <t>Hair</t>
        </is>
      </c>
      <c r="E114" s="39" t="inlineStr">
        <is>
          <t>G.V Enterprises</t>
        </is>
      </c>
      <c r="F114" s="41" t="inlineStr">
        <is>
          <t>South-1</t>
        </is>
      </c>
      <c r="G114" s="42" t="n">
        <v>1.6116</v>
      </c>
      <c r="H114" s="16">
        <f>IFERROR(G114/SUMIFS($G$4:$G$1504,$C$4:$C$1504,$C114,$D$4:$D$1504,$D114),0)</f>
        <v/>
      </c>
      <c r="I114" s="14">
        <f>$H114*SUMIFS('Forecast Engine'!$AK$4:$AK$12,'Forecast Engine'!$A$4:$A$12,$C114,'Forecast Engine'!$B$4:$B$12,$D114)</f>
        <v/>
      </c>
      <c r="J114" s="14">
        <f>$H114*SUMIFS('Forecast Engine'!$AL$4:$AL$12,'Forecast Engine'!$A$4:$A$12,$C114,'Forecast Engine'!$B$4:$B$12,$D114)</f>
        <v/>
      </c>
      <c r="K114" s="14">
        <f>$H114*SUMIFS('Forecast Engine'!$AM$4:$AM$12,'Forecast Engine'!$A$4:$A$12,$C114,'Forecast Engine'!$B$4:$B$12,$D114)</f>
        <v/>
      </c>
      <c r="L114" s="43">
        <f>SUM(I114:K114)</f>
        <v/>
      </c>
    </row>
    <row r="115">
      <c r="A115" s="39" t="inlineStr"/>
      <c r="B115" s="39" t="inlineStr"/>
      <c r="C115" s="40" t="inlineStr">
        <is>
          <t>Mamaearth</t>
        </is>
      </c>
      <c r="D115" s="40" t="inlineStr">
        <is>
          <t>Hair</t>
        </is>
      </c>
      <c r="E115" s="39" t="inlineStr">
        <is>
          <t>Sri Vijaya Durga Agencie</t>
        </is>
      </c>
      <c r="F115" s="41" t="inlineStr">
        <is>
          <t>South-2</t>
        </is>
      </c>
      <c r="G115" s="42" t="n">
        <v>1.5726</v>
      </c>
      <c r="H115" s="16">
        <f>IFERROR(G115/SUMIFS($G$4:$G$1504,$C$4:$C$1504,$C115,$D$4:$D$1504,$D115),0)</f>
        <v/>
      </c>
      <c r="I115" s="14">
        <f>$H115*SUMIFS('Forecast Engine'!$AK$4:$AK$12,'Forecast Engine'!$A$4:$A$12,$C115,'Forecast Engine'!$B$4:$B$12,$D115)</f>
        <v/>
      </c>
      <c r="J115" s="14">
        <f>$H115*SUMIFS('Forecast Engine'!$AL$4:$AL$12,'Forecast Engine'!$A$4:$A$12,$C115,'Forecast Engine'!$B$4:$B$12,$D115)</f>
        <v/>
      </c>
      <c r="K115" s="14">
        <f>$H115*SUMIFS('Forecast Engine'!$AM$4:$AM$12,'Forecast Engine'!$A$4:$A$12,$C115,'Forecast Engine'!$B$4:$B$12,$D115)</f>
        <v/>
      </c>
      <c r="L115" s="43">
        <f>SUM(I115:K115)</f>
        <v/>
      </c>
    </row>
    <row r="116">
      <c r="A116" s="39" t="inlineStr"/>
      <c r="B116" s="39" t="inlineStr"/>
      <c r="C116" s="40" t="inlineStr">
        <is>
          <t>Mamaearth</t>
        </is>
      </c>
      <c r="D116" s="40" t="inlineStr">
        <is>
          <t>Hair</t>
        </is>
      </c>
      <c r="E116" s="39" t="inlineStr">
        <is>
          <t>Reliance Retail Limited</t>
        </is>
      </c>
      <c r="F116" s="41" t="inlineStr">
        <is>
          <t>West</t>
        </is>
      </c>
      <c r="G116" s="42" t="n">
        <v>1.4544</v>
      </c>
      <c r="H116" s="16">
        <f>IFERROR(G116/SUMIFS($G$4:$G$1504,$C$4:$C$1504,$C116,$D$4:$D$1504,$D116),0)</f>
        <v/>
      </c>
      <c r="I116" s="14">
        <f>$H116*SUMIFS('Forecast Engine'!$AK$4:$AK$12,'Forecast Engine'!$A$4:$A$12,$C116,'Forecast Engine'!$B$4:$B$12,$D116)</f>
        <v/>
      </c>
      <c r="J116" s="14">
        <f>$H116*SUMIFS('Forecast Engine'!$AL$4:$AL$12,'Forecast Engine'!$A$4:$A$12,$C116,'Forecast Engine'!$B$4:$B$12,$D116)</f>
        <v/>
      </c>
      <c r="K116" s="14">
        <f>$H116*SUMIFS('Forecast Engine'!$AM$4:$AM$12,'Forecast Engine'!$A$4:$A$12,$C116,'Forecast Engine'!$B$4:$B$12,$D116)</f>
        <v/>
      </c>
      <c r="L116" s="43">
        <f>SUM(I116:K116)</f>
        <v/>
      </c>
    </row>
    <row r="117">
      <c r="A117" s="39" t="inlineStr">
        <is>
          <t>10100099</t>
        </is>
      </c>
      <c r="B117" s="39" t="inlineStr">
        <is>
          <t>Onion Shampoo for Hair Growth and Hair Fall Cont</t>
        </is>
      </c>
      <c r="C117" s="40" t="inlineStr">
        <is>
          <t>Mamaearth</t>
        </is>
      </c>
      <c r="D117" s="40" t="inlineStr">
        <is>
          <t>Hair</t>
        </is>
      </c>
      <c r="E117" s="39" t="inlineStr">
        <is>
          <t>Reliance Retail Limited</t>
        </is>
      </c>
      <c r="F117" s="41" t="inlineStr">
        <is>
          <t>East</t>
        </is>
      </c>
      <c r="G117" s="42" t="n">
        <v>1.3792</v>
      </c>
      <c r="H117" s="16">
        <f>IFERROR(G117/SUMIFS($G$4:$G$1504,$C$4:$C$1504,$C117,$D$4:$D$1504,$D117),0)</f>
        <v/>
      </c>
      <c r="I117" s="14">
        <f>$H117*SUMIFS('Forecast Engine'!$AK$4:$AK$12,'Forecast Engine'!$A$4:$A$12,$C117,'Forecast Engine'!$B$4:$B$12,$D117)</f>
        <v/>
      </c>
      <c r="J117" s="14">
        <f>$H117*SUMIFS('Forecast Engine'!$AL$4:$AL$12,'Forecast Engine'!$A$4:$A$12,$C117,'Forecast Engine'!$B$4:$B$12,$D117)</f>
        <v/>
      </c>
      <c r="K117" s="14">
        <f>$H117*SUMIFS('Forecast Engine'!$AM$4:$AM$12,'Forecast Engine'!$A$4:$A$12,$C117,'Forecast Engine'!$B$4:$B$12,$D117)</f>
        <v/>
      </c>
      <c r="L117" s="43">
        <f>SUM(I117:K117)</f>
        <v/>
      </c>
    </row>
    <row r="118">
      <c r="A118" s="39" t="inlineStr"/>
      <c r="B118" s="39" t="inlineStr"/>
      <c r="C118" s="40" t="inlineStr">
        <is>
          <t>Mamaearth</t>
        </is>
      </c>
      <c r="D118" s="40" t="inlineStr">
        <is>
          <t>Hair</t>
        </is>
      </c>
      <c r="E118" s="39" t="inlineStr">
        <is>
          <t>D-Mart</t>
        </is>
      </c>
      <c r="F118" s="41" t="inlineStr">
        <is>
          <t>South-1</t>
        </is>
      </c>
      <c r="G118" s="42" t="n">
        <v>1.3669</v>
      </c>
      <c r="H118" s="16">
        <f>IFERROR(G118/SUMIFS($G$4:$G$1504,$C$4:$C$1504,$C118,$D$4:$D$1504,$D118),0)</f>
        <v/>
      </c>
      <c r="I118" s="14">
        <f>$H118*SUMIFS('Forecast Engine'!$AK$4:$AK$12,'Forecast Engine'!$A$4:$A$12,$C118,'Forecast Engine'!$B$4:$B$12,$D118)</f>
        <v/>
      </c>
      <c r="J118" s="14">
        <f>$H118*SUMIFS('Forecast Engine'!$AL$4:$AL$12,'Forecast Engine'!$A$4:$A$12,$C118,'Forecast Engine'!$B$4:$B$12,$D118)</f>
        <v/>
      </c>
      <c r="K118" s="14">
        <f>$H118*SUMIFS('Forecast Engine'!$AM$4:$AM$12,'Forecast Engine'!$A$4:$A$12,$C118,'Forecast Engine'!$B$4:$B$12,$D118)</f>
        <v/>
      </c>
      <c r="L118" s="43">
        <f>SUM(I118:K118)</f>
        <v/>
      </c>
    </row>
    <row r="119">
      <c r="A119" s="39" t="inlineStr"/>
      <c r="B119" s="39" t="inlineStr"/>
      <c r="C119" s="40" t="inlineStr">
        <is>
          <t>Mamaearth</t>
        </is>
      </c>
      <c r="D119" s="40" t="inlineStr">
        <is>
          <t>Hair</t>
        </is>
      </c>
      <c r="E119" s="39" t="inlineStr">
        <is>
          <t>Apollo Healthco</t>
        </is>
      </c>
      <c r="F119" s="41" t="inlineStr">
        <is>
          <t>South-1</t>
        </is>
      </c>
      <c r="G119" s="42" t="n">
        <v>1.3116</v>
      </c>
      <c r="H119" s="16">
        <f>IFERROR(G119/SUMIFS($G$4:$G$1504,$C$4:$C$1504,$C119,$D$4:$D$1504,$D119),0)</f>
        <v/>
      </c>
      <c r="I119" s="14">
        <f>$H119*SUMIFS('Forecast Engine'!$AK$4:$AK$12,'Forecast Engine'!$A$4:$A$12,$C119,'Forecast Engine'!$B$4:$B$12,$D119)</f>
        <v/>
      </c>
      <c r="J119" s="14">
        <f>$H119*SUMIFS('Forecast Engine'!$AL$4:$AL$12,'Forecast Engine'!$A$4:$A$12,$C119,'Forecast Engine'!$B$4:$B$12,$D119)</f>
        <v/>
      </c>
      <c r="K119" s="14">
        <f>$H119*SUMIFS('Forecast Engine'!$AM$4:$AM$12,'Forecast Engine'!$A$4:$A$12,$C119,'Forecast Engine'!$B$4:$B$12,$D119)</f>
        <v/>
      </c>
      <c r="L119" s="43">
        <f>SUM(I119:K119)</f>
        <v/>
      </c>
    </row>
    <row r="120">
      <c r="A120" s="39" t="inlineStr">
        <is>
          <t>10101055</t>
        </is>
      </c>
      <c r="B120" s="39" t="inlineStr">
        <is>
          <t>ME Rosemary Anti-Hairfall Shampoo 400 ml</t>
        </is>
      </c>
      <c r="C120" s="40" t="inlineStr">
        <is>
          <t>Mamaearth</t>
        </is>
      </c>
      <c r="D120" s="40" t="inlineStr">
        <is>
          <t>Hair</t>
        </is>
      </c>
      <c r="E120" s="39" t="inlineStr">
        <is>
          <t>Reliance Retail Limited</t>
        </is>
      </c>
      <c r="F120" s="41" t="inlineStr">
        <is>
          <t>North</t>
        </is>
      </c>
      <c r="G120" s="42" t="n">
        <v>1.1462</v>
      </c>
      <c r="H120" s="16">
        <f>IFERROR(G120/SUMIFS($G$4:$G$1504,$C$4:$C$1504,$C120,$D$4:$D$1504,$D120),0)</f>
        <v/>
      </c>
      <c r="I120" s="14">
        <f>$H120*SUMIFS('Forecast Engine'!$AK$4:$AK$12,'Forecast Engine'!$A$4:$A$12,$C120,'Forecast Engine'!$B$4:$B$12,$D120)</f>
        <v/>
      </c>
      <c r="J120" s="14">
        <f>$H120*SUMIFS('Forecast Engine'!$AL$4:$AL$12,'Forecast Engine'!$A$4:$A$12,$C120,'Forecast Engine'!$B$4:$B$12,$D120)</f>
        <v/>
      </c>
      <c r="K120" s="14">
        <f>$H120*SUMIFS('Forecast Engine'!$AM$4:$AM$12,'Forecast Engine'!$A$4:$A$12,$C120,'Forecast Engine'!$B$4:$B$12,$D120)</f>
        <v/>
      </c>
      <c r="L120" s="43">
        <f>SUM(I120:K120)</f>
        <v/>
      </c>
    </row>
    <row r="121">
      <c r="A121" s="39" t="inlineStr">
        <is>
          <t>10100830</t>
        </is>
      </c>
      <c r="B121" s="39" t="inlineStr">
        <is>
          <t>Onion Shampoo 600 ml</t>
        </is>
      </c>
      <c r="C121" s="40" t="inlineStr">
        <is>
          <t>Mamaearth</t>
        </is>
      </c>
      <c r="D121" s="40" t="inlineStr">
        <is>
          <t>Hair</t>
        </is>
      </c>
      <c r="E121" s="39" t="inlineStr">
        <is>
          <t>JUST MARK-Dmart</t>
        </is>
      </c>
      <c r="F121" s="41" t="inlineStr">
        <is>
          <t>West</t>
        </is>
      </c>
      <c r="G121" s="42" t="n">
        <v>1.1324</v>
      </c>
      <c r="H121" s="16">
        <f>IFERROR(G121/SUMIFS($G$4:$G$1504,$C$4:$C$1504,$C121,$D$4:$D$1504,$D121),0)</f>
        <v/>
      </c>
      <c r="I121" s="14">
        <f>$H121*SUMIFS('Forecast Engine'!$AK$4:$AK$12,'Forecast Engine'!$A$4:$A$12,$C121,'Forecast Engine'!$B$4:$B$12,$D121)</f>
        <v/>
      </c>
      <c r="J121" s="14">
        <f>$H121*SUMIFS('Forecast Engine'!$AL$4:$AL$12,'Forecast Engine'!$A$4:$A$12,$C121,'Forecast Engine'!$B$4:$B$12,$D121)</f>
        <v/>
      </c>
      <c r="K121" s="14">
        <f>$H121*SUMIFS('Forecast Engine'!$AM$4:$AM$12,'Forecast Engine'!$A$4:$A$12,$C121,'Forecast Engine'!$B$4:$B$12,$D121)</f>
        <v/>
      </c>
      <c r="L121" s="43">
        <f>SUM(I121:K121)</f>
        <v/>
      </c>
    </row>
    <row r="122">
      <c r="A122" s="39" t="inlineStr">
        <is>
          <t>10100099</t>
        </is>
      </c>
      <c r="B122" s="39" t="inlineStr">
        <is>
          <t>Onion Shampoo for Hair Growth and Hair Fall Cont</t>
        </is>
      </c>
      <c r="C122" s="40" t="inlineStr">
        <is>
          <t>Mamaearth</t>
        </is>
      </c>
      <c r="D122" s="40" t="inlineStr">
        <is>
          <t>Hair</t>
        </is>
      </c>
      <c r="E122" s="39" t="inlineStr">
        <is>
          <t>Reliance Retail Limited</t>
        </is>
      </c>
      <c r="F122" s="41" t="inlineStr">
        <is>
          <t>West</t>
        </is>
      </c>
      <c r="G122" s="42" t="n">
        <v>1.1263</v>
      </c>
      <c r="H122" s="16">
        <f>IFERROR(G122/SUMIFS($G$4:$G$1504,$C$4:$C$1504,$C122,$D$4:$D$1504,$D122),0)</f>
        <v/>
      </c>
      <c r="I122" s="14">
        <f>$H122*SUMIFS('Forecast Engine'!$AK$4:$AK$12,'Forecast Engine'!$A$4:$A$12,$C122,'Forecast Engine'!$B$4:$B$12,$D122)</f>
        <v/>
      </c>
      <c r="J122" s="14">
        <f>$H122*SUMIFS('Forecast Engine'!$AL$4:$AL$12,'Forecast Engine'!$A$4:$A$12,$C122,'Forecast Engine'!$B$4:$B$12,$D122)</f>
        <v/>
      </c>
      <c r="K122" s="14">
        <f>$H122*SUMIFS('Forecast Engine'!$AM$4:$AM$12,'Forecast Engine'!$A$4:$A$12,$C122,'Forecast Engine'!$B$4:$B$12,$D122)</f>
        <v/>
      </c>
      <c r="L122" s="43">
        <f>SUM(I122:K122)</f>
        <v/>
      </c>
    </row>
    <row r="123">
      <c r="A123" s="39" t="inlineStr"/>
      <c r="B123" s="39" t="inlineStr"/>
      <c r="C123" s="40" t="inlineStr">
        <is>
          <t>Mamaearth</t>
        </is>
      </c>
      <c r="D123" s="40" t="inlineStr">
        <is>
          <t>Hair</t>
        </is>
      </c>
      <c r="E123" s="39" t="inlineStr">
        <is>
          <t>Kiran Trading Company</t>
        </is>
      </c>
      <c r="F123" s="41" t="inlineStr">
        <is>
          <t>West</t>
        </is>
      </c>
      <c r="G123" s="42" t="n">
        <v>1.1114</v>
      </c>
      <c r="H123" s="16">
        <f>IFERROR(G123/SUMIFS($G$4:$G$1504,$C$4:$C$1504,$C123,$D$4:$D$1504,$D123),0)</f>
        <v/>
      </c>
      <c r="I123" s="14">
        <f>$H123*SUMIFS('Forecast Engine'!$AK$4:$AK$12,'Forecast Engine'!$A$4:$A$12,$C123,'Forecast Engine'!$B$4:$B$12,$D123)</f>
        <v/>
      </c>
      <c r="J123" s="14">
        <f>$H123*SUMIFS('Forecast Engine'!$AL$4:$AL$12,'Forecast Engine'!$A$4:$A$12,$C123,'Forecast Engine'!$B$4:$B$12,$D123)</f>
        <v/>
      </c>
      <c r="K123" s="14">
        <f>$H123*SUMIFS('Forecast Engine'!$AM$4:$AM$12,'Forecast Engine'!$A$4:$A$12,$C123,'Forecast Engine'!$B$4:$B$12,$D123)</f>
        <v/>
      </c>
      <c r="L123" s="43">
        <f>SUM(I123:K123)</f>
        <v/>
      </c>
    </row>
    <row r="124">
      <c r="A124" s="39" t="inlineStr">
        <is>
          <t>10101055</t>
        </is>
      </c>
      <c r="B124" s="39" t="inlineStr">
        <is>
          <t>ME Rosemary Anti-Hairfall Shampoo 400 ml</t>
        </is>
      </c>
      <c r="C124" s="40" t="inlineStr">
        <is>
          <t>Mamaearth</t>
        </is>
      </c>
      <c r="D124" s="40" t="inlineStr">
        <is>
          <t>Hair</t>
        </is>
      </c>
      <c r="E124" s="39" t="inlineStr">
        <is>
          <t>Reliance Retail Limited</t>
        </is>
      </c>
      <c r="F124" s="41" t="inlineStr">
        <is>
          <t>East</t>
        </is>
      </c>
      <c r="G124" s="42" t="n">
        <v>1.0653</v>
      </c>
      <c r="H124" s="16">
        <f>IFERROR(G124/SUMIFS($G$4:$G$1504,$C$4:$C$1504,$C124,$D$4:$D$1504,$D124),0)</f>
        <v/>
      </c>
      <c r="I124" s="14">
        <f>$H124*SUMIFS('Forecast Engine'!$AK$4:$AK$12,'Forecast Engine'!$A$4:$A$12,$C124,'Forecast Engine'!$B$4:$B$12,$D124)</f>
        <v/>
      </c>
      <c r="J124" s="14">
        <f>$H124*SUMIFS('Forecast Engine'!$AL$4:$AL$12,'Forecast Engine'!$A$4:$A$12,$C124,'Forecast Engine'!$B$4:$B$12,$D124)</f>
        <v/>
      </c>
      <c r="K124" s="14">
        <f>$H124*SUMIFS('Forecast Engine'!$AM$4:$AM$12,'Forecast Engine'!$A$4:$A$12,$C124,'Forecast Engine'!$B$4:$B$12,$D124)</f>
        <v/>
      </c>
      <c r="L124" s="43">
        <f>SUM(I124:K124)</f>
        <v/>
      </c>
    </row>
    <row r="125">
      <c r="A125" s="39" t="inlineStr">
        <is>
          <t>10100830</t>
        </is>
      </c>
      <c r="B125" s="39" t="inlineStr">
        <is>
          <t>Onion Shampoo 600 ml</t>
        </is>
      </c>
      <c r="C125" s="40" t="inlineStr">
        <is>
          <t>Mamaearth</t>
        </is>
      </c>
      <c r="D125" s="40" t="inlineStr">
        <is>
          <t>Hair</t>
        </is>
      </c>
      <c r="E125" s="39" t="inlineStr">
        <is>
          <t>D-Mart</t>
        </is>
      </c>
      <c r="F125" s="41" t="inlineStr">
        <is>
          <t>West</t>
        </is>
      </c>
      <c r="G125" s="42" t="n">
        <v>0.9427</v>
      </c>
      <c r="H125" s="16">
        <f>IFERROR(G125/SUMIFS($G$4:$G$1504,$C$4:$C$1504,$C125,$D$4:$D$1504,$D125),0)</f>
        <v/>
      </c>
      <c r="I125" s="14">
        <f>$H125*SUMIFS('Forecast Engine'!$AK$4:$AK$12,'Forecast Engine'!$A$4:$A$12,$C125,'Forecast Engine'!$B$4:$B$12,$D125)</f>
        <v/>
      </c>
      <c r="J125" s="14">
        <f>$H125*SUMIFS('Forecast Engine'!$AL$4:$AL$12,'Forecast Engine'!$A$4:$A$12,$C125,'Forecast Engine'!$B$4:$B$12,$D125)</f>
        <v/>
      </c>
      <c r="K125" s="14">
        <f>$H125*SUMIFS('Forecast Engine'!$AM$4:$AM$12,'Forecast Engine'!$A$4:$A$12,$C125,'Forecast Engine'!$B$4:$B$12,$D125)</f>
        <v/>
      </c>
      <c r="L125" s="43">
        <f>SUM(I125:K125)</f>
        <v/>
      </c>
    </row>
    <row r="126">
      <c r="A126" s="39" t="inlineStr">
        <is>
          <t>10100099</t>
        </is>
      </c>
      <c r="B126" s="39" t="inlineStr">
        <is>
          <t>Onion Shampoo for Hair Growth and Hair Fall Cont</t>
        </is>
      </c>
      <c r="C126" s="40" t="inlineStr">
        <is>
          <t>Mamaearth</t>
        </is>
      </c>
      <c r="D126" s="40" t="inlineStr">
        <is>
          <t>Hair</t>
        </is>
      </c>
      <c r="E126" s="39" t="inlineStr">
        <is>
          <t>Apollo Healthco</t>
        </is>
      </c>
      <c r="F126" s="41" t="inlineStr">
        <is>
          <t>South-1</t>
        </is>
      </c>
      <c r="G126" s="42" t="n">
        <v>0.8594000000000001</v>
      </c>
      <c r="H126" s="16">
        <f>IFERROR(G126/SUMIFS($G$4:$G$1504,$C$4:$C$1504,$C126,$D$4:$D$1504,$D126),0)</f>
        <v/>
      </c>
      <c r="I126" s="14">
        <f>$H126*SUMIFS('Forecast Engine'!$AK$4:$AK$12,'Forecast Engine'!$A$4:$A$12,$C126,'Forecast Engine'!$B$4:$B$12,$D126)</f>
        <v/>
      </c>
      <c r="J126" s="14">
        <f>$H126*SUMIFS('Forecast Engine'!$AL$4:$AL$12,'Forecast Engine'!$A$4:$A$12,$C126,'Forecast Engine'!$B$4:$B$12,$D126)</f>
        <v/>
      </c>
      <c r="K126" s="14">
        <f>$H126*SUMIFS('Forecast Engine'!$AM$4:$AM$12,'Forecast Engine'!$A$4:$A$12,$C126,'Forecast Engine'!$B$4:$B$12,$D126)</f>
        <v/>
      </c>
      <c r="L126" s="43">
        <f>SUM(I126:K126)</f>
        <v/>
      </c>
    </row>
    <row r="127">
      <c r="A127" s="39" t="inlineStr">
        <is>
          <t>10100099</t>
        </is>
      </c>
      <c r="B127" s="39" t="inlineStr">
        <is>
          <t>Onion Shampoo for Hair Growth and Hair Fall Cont</t>
        </is>
      </c>
      <c r="C127" s="40" t="inlineStr">
        <is>
          <t>Mamaearth</t>
        </is>
      </c>
      <c r="D127" s="40" t="inlineStr">
        <is>
          <t>Hair</t>
        </is>
      </c>
      <c r="E127" s="39" t="inlineStr">
        <is>
          <t>Reliance Retail Limited</t>
        </is>
      </c>
      <c r="F127" s="41" t="inlineStr">
        <is>
          <t>South-1</t>
        </is>
      </c>
      <c r="G127" s="42" t="n">
        <v>0.8134</v>
      </c>
      <c r="H127" s="16">
        <f>IFERROR(G127/SUMIFS($G$4:$G$1504,$C$4:$C$1504,$C127,$D$4:$D$1504,$D127),0)</f>
        <v/>
      </c>
      <c r="I127" s="14">
        <f>$H127*SUMIFS('Forecast Engine'!$AK$4:$AK$12,'Forecast Engine'!$A$4:$A$12,$C127,'Forecast Engine'!$B$4:$B$12,$D127)</f>
        <v/>
      </c>
      <c r="J127" s="14">
        <f>$H127*SUMIFS('Forecast Engine'!$AL$4:$AL$12,'Forecast Engine'!$A$4:$A$12,$C127,'Forecast Engine'!$B$4:$B$12,$D127)</f>
        <v/>
      </c>
      <c r="K127" s="14">
        <f>$H127*SUMIFS('Forecast Engine'!$AM$4:$AM$12,'Forecast Engine'!$A$4:$A$12,$C127,'Forecast Engine'!$B$4:$B$12,$D127)</f>
        <v/>
      </c>
      <c r="L127" s="43">
        <f>SUM(I127:K127)</f>
        <v/>
      </c>
    </row>
    <row r="128">
      <c r="A128" s="39" t="inlineStr">
        <is>
          <t>10100830</t>
        </is>
      </c>
      <c r="B128" s="39" t="inlineStr">
        <is>
          <t>Onion Shampoo 600 ml</t>
        </is>
      </c>
      <c r="C128" s="40" t="inlineStr">
        <is>
          <t>Mamaearth</t>
        </is>
      </c>
      <c r="D128" s="40" t="inlineStr">
        <is>
          <t>Hair</t>
        </is>
      </c>
      <c r="E128" s="39" t="inlineStr">
        <is>
          <t>D-Mart</t>
        </is>
      </c>
      <c r="F128" s="41" t="inlineStr">
        <is>
          <t>South-1</t>
        </is>
      </c>
      <c r="G128" s="42" t="n">
        <v>0.8088</v>
      </c>
      <c r="H128" s="16">
        <f>IFERROR(G128/SUMIFS($G$4:$G$1504,$C$4:$C$1504,$C128,$D$4:$D$1504,$D128),0)</f>
        <v/>
      </c>
      <c r="I128" s="14">
        <f>$H128*SUMIFS('Forecast Engine'!$AK$4:$AK$12,'Forecast Engine'!$A$4:$A$12,$C128,'Forecast Engine'!$B$4:$B$12,$D128)</f>
        <v/>
      </c>
      <c r="J128" s="14">
        <f>$H128*SUMIFS('Forecast Engine'!$AL$4:$AL$12,'Forecast Engine'!$A$4:$A$12,$C128,'Forecast Engine'!$B$4:$B$12,$D128)</f>
        <v/>
      </c>
      <c r="K128" s="14">
        <f>$H128*SUMIFS('Forecast Engine'!$AM$4:$AM$12,'Forecast Engine'!$A$4:$A$12,$C128,'Forecast Engine'!$B$4:$B$12,$D128)</f>
        <v/>
      </c>
      <c r="L128" s="43">
        <f>SUM(I128:K128)</f>
        <v/>
      </c>
    </row>
    <row r="129">
      <c r="A129" s="39" t="inlineStr">
        <is>
          <t>10100099</t>
        </is>
      </c>
      <c r="B129" s="39" t="inlineStr">
        <is>
          <t>Onion Shampoo for Hair Growth and Hair Fall Cont</t>
        </is>
      </c>
      <c r="C129" s="40" t="inlineStr">
        <is>
          <t>Mamaearth</t>
        </is>
      </c>
      <c r="D129" s="40" t="inlineStr">
        <is>
          <t>Hair</t>
        </is>
      </c>
      <c r="E129" s="39" t="inlineStr">
        <is>
          <t>Sri Vijaya Durga Agencie</t>
        </is>
      </c>
      <c r="F129" s="41" t="inlineStr">
        <is>
          <t>South-2</t>
        </is>
      </c>
      <c r="G129" s="42" t="n">
        <v>0.8021</v>
      </c>
      <c r="H129" s="16">
        <f>IFERROR(G129/SUMIFS($G$4:$G$1504,$C$4:$C$1504,$C129,$D$4:$D$1504,$D129),0)</f>
        <v/>
      </c>
      <c r="I129" s="14">
        <f>$H129*SUMIFS('Forecast Engine'!$AK$4:$AK$12,'Forecast Engine'!$A$4:$A$12,$C129,'Forecast Engine'!$B$4:$B$12,$D129)</f>
        <v/>
      </c>
      <c r="J129" s="14">
        <f>$H129*SUMIFS('Forecast Engine'!$AL$4:$AL$12,'Forecast Engine'!$A$4:$A$12,$C129,'Forecast Engine'!$B$4:$B$12,$D129)</f>
        <v/>
      </c>
      <c r="K129" s="14">
        <f>$H129*SUMIFS('Forecast Engine'!$AM$4:$AM$12,'Forecast Engine'!$A$4:$A$12,$C129,'Forecast Engine'!$B$4:$B$12,$D129)</f>
        <v/>
      </c>
      <c r="L129" s="43">
        <f>SUM(I129:K129)</f>
        <v/>
      </c>
    </row>
    <row r="130">
      <c r="A130" s="39" t="inlineStr">
        <is>
          <t>10100830</t>
        </is>
      </c>
      <c r="B130" s="39" t="inlineStr">
        <is>
          <t>Onion Shampoo 600 ml</t>
        </is>
      </c>
      <c r="C130" s="40" t="inlineStr">
        <is>
          <t>Mamaearth</t>
        </is>
      </c>
      <c r="D130" s="40" t="inlineStr">
        <is>
          <t>Hair</t>
        </is>
      </c>
      <c r="E130" s="39" t="inlineStr">
        <is>
          <t>D-Mart</t>
        </is>
      </c>
      <c r="F130" s="41" t="inlineStr">
        <is>
          <t>North</t>
        </is>
      </c>
      <c r="G130" s="42" t="n">
        <v>0.7374000000000001</v>
      </c>
      <c r="H130" s="16">
        <f>IFERROR(G130/SUMIFS($G$4:$G$1504,$C$4:$C$1504,$C130,$D$4:$D$1504,$D130),0)</f>
        <v/>
      </c>
      <c r="I130" s="14">
        <f>$H130*SUMIFS('Forecast Engine'!$AK$4:$AK$12,'Forecast Engine'!$A$4:$A$12,$C130,'Forecast Engine'!$B$4:$B$12,$D130)</f>
        <v/>
      </c>
      <c r="J130" s="14">
        <f>$H130*SUMIFS('Forecast Engine'!$AL$4:$AL$12,'Forecast Engine'!$A$4:$A$12,$C130,'Forecast Engine'!$B$4:$B$12,$D130)</f>
        <v/>
      </c>
      <c r="K130" s="14">
        <f>$H130*SUMIFS('Forecast Engine'!$AM$4:$AM$12,'Forecast Engine'!$A$4:$A$12,$C130,'Forecast Engine'!$B$4:$B$12,$D130)</f>
        <v/>
      </c>
      <c r="L130" s="43">
        <f>SUM(I130:K130)</f>
        <v/>
      </c>
    </row>
    <row r="131">
      <c r="A131" s="39" t="inlineStr">
        <is>
          <t>10101055</t>
        </is>
      </c>
      <c r="B131" s="39" t="inlineStr">
        <is>
          <t>ME Rosemary Anti-Hairfall Shampoo 400 ml</t>
        </is>
      </c>
      <c r="C131" s="40" t="inlineStr">
        <is>
          <t>Mamaearth</t>
        </is>
      </c>
      <c r="D131" s="40" t="inlineStr">
        <is>
          <t>Hair</t>
        </is>
      </c>
      <c r="E131" s="39" t="inlineStr">
        <is>
          <t>Apollo Healthco</t>
        </is>
      </c>
      <c r="F131" s="41" t="inlineStr">
        <is>
          <t>South-1</t>
        </is>
      </c>
      <c r="G131" s="42" t="n">
        <v>0.6904</v>
      </c>
      <c r="H131" s="16">
        <f>IFERROR(G131/SUMIFS($G$4:$G$1504,$C$4:$C$1504,$C131,$D$4:$D$1504,$D131),0)</f>
        <v/>
      </c>
      <c r="I131" s="14">
        <f>$H131*SUMIFS('Forecast Engine'!$AK$4:$AK$12,'Forecast Engine'!$A$4:$A$12,$C131,'Forecast Engine'!$B$4:$B$12,$D131)</f>
        <v/>
      </c>
      <c r="J131" s="14">
        <f>$H131*SUMIFS('Forecast Engine'!$AL$4:$AL$12,'Forecast Engine'!$A$4:$A$12,$C131,'Forecast Engine'!$B$4:$B$12,$D131)</f>
        <v/>
      </c>
      <c r="K131" s="14">
        <f>$H131*SUMIFS('Forecast Engine'!$AM$4:$AM$12,'Forecast Engine'!$A$4:$A$12,$C131,'Forecast Engine'!$B$4:$B$12,$D131)</f>
        <v/>
      </c>
      <c r="L131" s="43">
        <f>SUM(I131:K131)</f>
        <v/>
      </c>
    </row>
    <row r="132">
      <c r="A132" s="39" t="inlineStr">
        <is>
          <t>10100076</t>
        </is>
      </c>
      <c r="B132" s="39" t="inlineStr">
        <is>
          <t>Onion Shampoo for Hair Growth and Hair Fall Cont</t>
        </is>
      </c>
      <c r="C132" s="40" t="inlineStr">
        <is>
          <t>Mamaearth</t>
        </is>
      </c>
      <c r="D132" s="40" t="inlineStr">
        <is>
          <t>Hair</t>
        </is>
      </c>
      <c r="E132" s="39" t="inlineStr">
        <is>
          <t>D-Mart</t>
        </is>
      </c>
      <c r="F132" s="41" t="inlineStr">
        <is>
          <t>West</t>
        </is>
      </c>
      <c r="G132" s="42" t="n">
        <v>0.6828</v>
      </c>
      <c r="H132" s="16">
        <f>IFERROR(G132/SUMIFS($G$4:$G$1504,$C$4:$C$1504,$C132,$D$4:$D$1504,$D132),0)</f>
        <v/>
      </c>
      <c r="I132" s="14">
        <f>$H132*SUMIFS('Forecast Engine'!$AK$4:$AK$12,'Forecast Engine'!$A$4:$A$12,$C132,'Forecast Engine'!$B$4:$B$12,$D132)</f>
        <v/>
      </c>
      <c r="J132" s="14">
        <f>$H132*SUMIFS('Forecast Engine'!$AL$4:$AL$12,'Forecast Engine'!$A$4:$A$12,$C132,'Forecast Engine'!$B$4:$B$12,$D132)</f>
        <v/>
      </c>
      <c r="K132" s="14">
        <f>$H132*SUMIFS('Forecast Engine'!$AM$4:$AM$12,'Forecast Engine'!$A$4:$A$12,$C132,'Forecast Engine'!$B$4:$B$12,$D132)</f>
        <v/>
      </c>
      <c r="L132" s="43">
        <f>SUM(I132:K132)</f>
        <v/>
      </c>
    </row>
    <row r="133">
      <c r="A133" s="39" t="inlineStr">
        <is>
          <t>10101055</t>
        </is>
      </c>
      <c r="B133" s="39" t="inlineStr">
        <is>
          <t>ME Rosemary Anti-Hairfall Shampoo 400 ml</t>
        </is>
      </c>
      <c r="C133" s="40" t="inlineStr">
        <is>
          <t>Mamaearth</t>
        </is>
      </c>
      <c r="D133" s="40" t="inlineStr">
        <is>
          <t>Hair</t>
        </is>
      </c>
      <c r="E133" s="39" t="inlineStr">
        <is>
          <t>Reliance Retail Limited</t>
        </is>
      </c>
      <c r="F133" s="41" t="inlineStr">
        <is>
          <t>West</t>
        </is>
      </c>
      <c r="G133" s="42" t="n">
        <v>0.6714</v>
      </c>
      <c r="H133" s="16">
        <f>IFERROR(G133/SUMIFS($G$4:$G$1504,$C$4:$C$1504,$C133,$D$4:$D$1504,$D133),0)</f>
        <v/>
      </c>
      <c r="I133" s="14">
        <f>$H133*SUMIFS('Forecast Engine'!$AK$4:$AK$12,'Forecast Engine'!$A$4:$A$12,$C133,'Forecast Engine'!$B$4:$B$12,$D133)</f>
        <v/>
      </c>
      <c r="J133" s="14">
        <f>$H133*SUMIFS('Forecast Engine'!$AL$4:$AL$12,'Forecast Engine'!$A$4:$A$12,$C133,'Forecast Engine'!$B$4:$B$12,$D133)</f>
        <v/>
      </c>
      <c r="K133" s="14">
        <f>$H133*SUMIFS('Forecast Engine'!$AM$4:$AM$12,'Forecast Engine'!$A$4:$A$12,$C133,'Forecast Engine'!$B$4:$B$12,$D133)</f>
        <v/>
      </c>
      <c r="L133" s="43">
        <f>SUM(I133:K133)</f>
        <v/>
      </c>
    </row>
    <row r="134">
      <c r="A134" s="39" t="inlineStr">
        <is>
          <t>10100076</t>
        </is>
      </c>
      <c r="B134" s="39" t="inlineStr">
        <is>
          <t>Onion Shampoo for Hair Growth and Hair Fall Cont</t>
        </is>
      </c>
      <c r="C134" s="40" t="inlineStr">
        <is>
          <t>Mamaearth</t>
        </is>
      </c>
      <c r="D134" s="40" t="inlineStr">
        <is>
          <t>Hair</t>
        </is>
      </c>
      <c r="E134" s="39" t="inlineStr">
        <is>
          <t>Kiran Trading Company</t>
        </is>
      </c>
      <c r="F134" s="41" t="inlineStr">
        <is>
          <t>West</t>
        </is>
      </c>
      <c r="G134" s="42" t="n">
        <v>0.6667</v>
      </c>
      <c r="H134" s="16">
        <f>IFERROR(G134/SUMIFS($G$4:$G$1504,$C$4:$C$1504,$C134,$D$4:$D$1504,$D134),0)</f>
        <v/>
      </c>
      <c r="I134" s="14">
        <f>$H134*SUMIFS('Forecast Engine'!$AK$4:$AK$12,'Forecast Engine'!$A$4:$A$12,$C134,'Forecast Engine'!$B$4:$B$12,$D134)</f>
        <v/>
      </c>
      <c r="J134" s="14">
        <f>$H134*SUMIFS('Forecast Engine'!$AL$4:$AL$12,'Forecast Engine'!$A$4:$A$12,$C134,'Forecast Engine'!$B$4:$B$12,$D134)</f>
        <v/>
      </c>
      <c r="K134" s="14">
        <f>$H134*SUMIFS('Forecast Engine'!$AM$4:$AM$12,'Forecast Engine'!$A$4:$A$12,$C134,'Forecast Engine'!$B$4:$B$12,$D134)</f>
        <v/>
      </c>
      <c r="L134" s="43">
        <f>SUM(I134:K134)</f>
        <v/>
      </c>
    </row>
    <row r="135">
      <c r="A135" s="39" t="inlineStr">
        <is>
          <t>10101055</t>
        </is>
      </c>
      <c r="B135" s="39" t="inlineStr">
        <is>
          <t>ME Rosemary Anti-Hairfall Shampoo 400 ml</t>
        </is>
      </c>
      <c r="C135" s="40" t="inlineStr">
        <is>
          <t>Mamaearth</t>
        </is>
      </c>
      <c r="D135" s="40" t="inlineStr">
        <is>
          <t>Hair</t>
        </is>
      </c>
      <c r="E135" s="39" t="inlineStr">
        <is>
          <t>Reliance Retail Limited</t>
        </is>
      </c>
      <c r="F135" s="41" t="inlineStr">
        <is>
          <t>South-1</t>
        </is>
      </c>
      <c r="G135" s="42" t="n">
        <v>0.663</v>
      </c>
      <c r="H135" s="16">
        <f>IFERROR(G135/SUMIFS($G$4:$G$1504,$C$4:$C$1504,$C135,$D$4:$D$1504,$D135),0)</f>
        <v/>
      </c>
      <c r="I135" s="14">
        <f>$H135*SUMIFS('Forecast Engine'!$AK$4:$AK$12,'Forecast Engine'!$A$4:$A$12,$C135,'Forecast Engine'!$B$4:$B$12,$D135)</f>
        <v/>
      </c>
      <c r="J135" s="14">
        <f>$H135*SUMIFS('Forecast Engine'!$AL$4:$AL$12,'Forecast Engine'!$A$4:$A$12,$C135,'Forecast Engine'!$B$4:$B$12,$D135)</f>
        <v/>
      </c>
      <c r="K135" s="14">
        <f>$H135*SUMIFS('Forecast Engine'!$AM$4:$AM$12,'Forecast Engine'!$A$4:$A$12,$C135,'Forecast Engine'!$B$4:$B$12,$D135)</f>
        <v/>
      </c>
      <c r="L135" s="43">
        <f>SUM(I135:K135)</f>
        <v/>
      </c>
    </row>
    <row r="136">
      <c r="A136" s="39" t="inlineStr">
        <is>
          <t>10100830</t>
        </is>
      </c>
      <c r="B136" s="39" t="inlineStr">
        <is>
          <t>Onion Shampoo 600 ml</t>
        </is>
      </c>
      <c r="C136" s="40" t="inlineStr">
        <is>
          <t>Mamaearth</t>
        </is>
      </c>
      <c r="D136" s="40" t="inlineStr">
        <is>
          <t>Hair</t>
        </is>
      </c>
      <c r="E136" s="39" t="inlineStr">
        <is>
          <t>Sri Vijaya Durga Agencie</t>
        </is>
      </c>
      <c r="F136" s="41" t="inlineStr">
        <is>
          <t>South-2</t>
        </is>
      </c>
      <c r="G136" s="42" t="n">
        <v>0.6543</v>
      </c>
      <c r="H136" s="16">
        <f>IFERROR(G136/SUMIFS($G$4:$G$1504,$C$4:$C$1504,$C136,$D$4:$D$1504,$D136),0)</f>
        <v/>
      </c>
      <c r="I136" s="14">
        <f>$H136*SUMIFS('Forecast Engine'!$AK$4:$AK$12,'Forecast Engine'!$A$4:$A$12,$C136,'Forecast Engine'!$B$4:$B$12,$D136)</f>
        <v/>
      </c>
      <c r="J136" s="14">
        <f>$H136*SUMIFS('Forecast Engine'!$AL$4:$AL$12,'Forecast Engine'!$A$4:$A$12,$C136,'Forecast Engine'!$B$4:$B$12,$D136)</f>
        <v/>
      </c>
      <c r="K136" s="14">
        <f>$H136*SUMIFS('Forecast Engine'!$AM$4:$AM$12,'Forecast Engine'!$A$4:$A$12,$C136,'Forecast Engine'!$B$4:$B$12,$D136)</f>
        <v/>
      </c>
      <c r="L136" s="43">
        <f>SUM(I136:K136)</f>
        <v/>
      </c>
    </row>
    <row r="137">
      <c r="A137" s="39" t="inlineStr"/>
      <c r="B137" s="39" t="inlineStr"/>
      <c r="C137" s="40" t="inlineStr">
        <is>
          <t>Mamaearth</t>
        </is>
      </c>
      <c r="D137" s="40" t="inlineStr">
        <is>
          <t>Hair</t>
        </is>
      </c>
      <c r="E137" s="39" t="inlineStr">
        <is>
          <t>Apollo Healthco</t>
        </is>
      </c>
      <c r="F137" s="41" t="inlineStr">
        <is>
          <t>North</t>
        </is>
      </c>
      <c r="G137" s="42" t="n">
        <v>0.6458</v>
      </c>
      <c r="H137" s="16">
        <f>IFERROR(G137/SUMIFS($G$4:$G$1504,$C$4:$C$1504,$C137,$D$4:$D$1504,$D137),0)</f>
        <v/>
      </c>
      <c r="I137" s="14">
        <f>$H137*SUMIFS('Forecast Engine'!$AK$4:$AK$12,'Forecast Engine'!$A$4:$A$12,$C137,'Forecast Engine'!$B$4:$B$12,$D137)</f>
        <v/>
      </c>
      <c r="J137" s="14">
        <f>$H137*SUMIFS('Forecast Engine'!$AL$4:$AL$12,'Forecast Engine'!$A$4:$A$12,$C137,'Forecast Engine'!$B$4:$B$12,$D137)</f>
        <v/>
      </c>
      <c r="K137" s="14">
        <f>$H137*SUMIFS('Forecast Engine'!$AM$4:$AM$12,'Forecast Engine'!$A$4:$A$12,$C137,'Forecast Engine'!$B$4:$B$12,$D137)</f>
        <v/>
      </c>
      <c r="L137" s="43">
        <f>SUM(I137:K137)</f>
        <v/>
      </c>
    </row>
    <row r="138">
      <c r="A138" s="39" t="inlineStr">
        <is>
          <t>10101208</t>
        </is>
      </c>
      <c r="B138" s="39" t="inlineStr">
        <is>
          <t>Rosemary Anti-Hairfall Shampoo 600 ml</t>
        </is>
      </c>
      <c r="C138" s="40" t="inlineStr">
        <is>
          <t>Mamaearth</t>
        </is>
      </c>
      <c r="D138" s="40" t="inlineStr">
        <is>
          <t>Hair</t>
        </is>
      </c>
      <c r="E138" s="39" t="inlineStr">
        <is>
          <t>D-Mart</t>
        </is>
      </c>
      <c r="F138" s="41" t="inlineStr">
        <is>
          <t>West</t>
        </is>
      </c>
      <c r="G138" s="42" t="n">
        <v>0.6387</v>
      </c>
      <c r="H138" s="16">
        <f>IFERROR(G138/SUMIFS($G$4:$G$1504,$C$4:$C$1504,$C138,$D$4:$D$1504,$D138),0)</f>
        <v/>
      </c>
      <c r="I138" s="14">
        <f>$H138*SUMIFS('Forecast Engine'!$AK$4:$AK$12,'Forecast Engine'!$A$4:$A$12,$C138,'Forecast Engine'!$B$4:$B$12,$D138)</f>
        <v/>
      </c>
      <c r="J138" s="14">
        <f>$H138*SUMIFS('Forecast Engine'!$AL$4:$AL$12,'Forecast Engine'!$A$4:$A$12,$C138,'Forecast Engine'!$B$4:$B$12,$D138)</f>
        <v/>
      </c>
      <c r="K138" s="14">
        <f>$H138*SUMIFS('Forecast Engine'!$AM$4:$AM$12,'Forecast Engine'!$A$4:$A$12,$C138,'Forecast Engine'!$B$4:$B$12,$D138)</f>
        <v/>
      </c>
      <c r="L138" s="43">
        <f>SUM(I138:K138)</f>
        <v/>
      </c>
    </row>
    <row r="139">
      <c r="A139" s="39" t="inlineStr">
        <is>
          <t>10100076</t>
        </is>
      </c>
      <c r="B139" s="39" t="inlineStr">
        <is>
          <t>Onion Shampoo for Hair Growth and Hair Fall Cont</t>
        </is>
      </c>
      <c r="C139" s="40" t="inlineStr">
        <is>
          <t>Mamaearth</t>
        </is>
      </c>
      <c r="D139" s="40" t="inlineStr">
        <is>
          <t>Hair</t>
        </is>
      </c>
      <c r="E139" s="39" t="inlineStr">
        <is>
          <t>JUST MARK-Dmart</t>
        </is>
      </c>
      <c r="F139" s="41" t="inlineStr">
        <is>
          <t>West</t>
        </is>
      </c>
      <c r="G139" s="42" t="n">
        <v>0.6345</v>
      </c>
      <c r="H139" s="16">
        <f>IFERROR(G139/SUMIFS($G$4:$G$1504,$C$4:$C$1504,$C139,$D$4:$D$1504,$D139),0)</f>
        <v/>
      </c>
      <c r="I139" s="14">
        <f>$H139*SUMIFS('Forecast Engine'!$AK$4:$AK$12,'Forecast Engine'!$A$4:$A$12,$C139,'Forecast Engine'!$B$4:$B$12,$D139)</f>
        <v/>
      </c>
      <c r="J139" s="14">
        <f>$H139*SUMIFS('Forecast Engine'!$AL$4:$AL$12,'Forecast Engine'!$A$4:$A$12,$C139,'Forecast Engine'!$B$4:$B$12,$D139)</f>
        <v/>
      </c>
      <c r="K139" s="14">
        <f>$H139*SUMIFS('Forecast Engine'!$AM$4:$AM$12,'Forecast Engine'!$A$4:$A$12,$C139,'Forecast Engine'!$B$4:$B$12,$D139)</f>
        <v/>
      </c>
      <c r="L139" s="43">
        <f>SUM(I139:K139)</f>
        <v/>
      </c>
    </row>
    <row r="140">
      <c r="A140" s="39" t="inlineStr"/>
      <c r="B140" s="39" t="inlineStr"/>
      <c r="C140" s="40" t="inlineStr">
        <is>
          <t>Mamaearth</t>
        </is>
      </c>
      <c r="D140" s="40" t="inlineStr">
        <is>
          <t>Hair</t>
        </is>
      </c>
      <c r="E140" s="39" t="inlineStr">
        <is>
          <t>Apollo Healthco</t>
        </is>
      </c>
      <c r="F140" s="41" t="inlineStr">
        <is>
          <t>South-2</t>
        </is>
      </c>
      <c r="G140" s="42" t="n">
        <v>0.5994</v>
      </c>
      <c r="H140" s="16">
        <f>IFERROR(G140/SUMIFS($G$4:$G$1504,$C$4:$C$1504,$C140,$D$4:$D$1504,$D140),0)</f>
        <v/>
      </c>
      <c r="I140" s="14">
        <f>$H140*SUMIFS('Forecast Engine'!$AK$4:$AK$12,'Forecast Engine'!$A$4:$A$12,$C140,'Forecast Engine'!$B$4:$B$12,$D140)</f>
        <v/>
      </c>
      <c r="J140" s="14">
        <f>$H140*SUMIFS('Forecast Engine'!$AL$4:$AL$12,'Forecast Engine'!$A$4:$A$12,$C140,'Forecast Engine'!$B$4:$B$12,$D140)</f>
        <v/>
      </c>
      <c r="K140" s="14">
        <f>$H140*SUMIFS('Forecast Engine'!$AM$4:$AM$12,'Forecast Engine'!$A$4:$A$12,$C140,'Forecast Engine'!$B$4:$B$12,$D140)</f>
        <v/>
      </c>
      <c r="L140" s="43">
        <f>SUM(I140:K140)</f>
        <v/>
      </c>
    </row>
    <row r="141">
      <c r="A141" s="39" t="inlineStr">
        <is>
          <t>10101208</t>
        </is>
      </c>
      <c r="B141" s="39" t="inlineStr">
        <is>
          <t>Rosemary Anti-Hairfall Shampoo 600 ml</t>
        </is>
      </c>
      <c r="C141" s="40" t="inlineStr">
        <is>
          <t>Mamaearth</t>
        </is>
      </c>
      <c r="D141" s="40" t="inlineStr">
        <is>
          <t>Hair</t>
        </is>
      </c>
      <c r="E141" s="39" t="inlineStr">
        <is>
          <t>D-Mart</t>
        </is>
      </c>
      <c r="F141" s="41" t="inlineStr">
        <is>
          <t>North</t>
        </is>
      </c>
      <c r="G141" s="42" t="n">
        <v>0.5888</v>
      </c>
      <c r="H141" s="16">
        <f>IFERROR(G141/SUMIFS($G$4:$G$1504,$C$4:$C$1504,$C141,$D$4:$D$1504,$D141),0)</f>
        <v/>
      </c>
      <c r="I141" s="14">
        <f>$H141*SUMIFS('Forecast Engine'!$AK$4:$AK$12,'Forecast Engine'!$A$4:$A$12,$C141,'Forecast Engine'!$B$4:$B$12,$D141)</f>
        <v/>
      </c>
      <c r="J141" s="14">
        <f>$H141*SUMIFS('Forecast Engine'!$AL$4:$AL$12,'Forecast Engine'!$A$4:$A$12,$C141,'Forecast Engine'!$B$4:$B$12,$D141)</f>
        <v/>
      </c>
      <c r="K141" s="14">
        <f>$H141*SUMIFS('Forecast Engine'!$AM$4:$AM$12,'Forecast Engine'!$A$4:$A$12,$C141,'Forecast Engine'!$B$4:$B$12,$D141)</f>
        <v/>
      </c>
      <c r="L141" s="43">
        <f>SUM(I141:K141)</f>
        <v/>
      </c>
    </row>
    <row r="142">
      <c r="A142" s="39" t="inlineStr">
        <is>
          <t>10100099</t>
        </is>
      </c>
      <c r="B142" s="39" t="inlineStr">
        <is>
          <t>Onion Shampoo for Hair Growth and Hair Fall Cont</t>
        </is>
      </c>
      <c r="C142" s="40" t="inlineStr">
        <is>
          <t>Mamaearth</t>
        </is>
      </c>
      <c r="D142" s="40" t="inlineStr">
        <is>
          <t>Hair</t>
        </is>
      </c>
      <c r="E142" s="39" t="inlineStr">
        <is>
          <t>Apollo Healthco</t>
        </is>
      </c>
      <c r="F142" s="41" t="inlineStr">
        <is>
          <t>South-2</t>
        </is>
      </c>
      <c r="G142" s="42" t="n">
        <v>0.579</v>
      </c>
      <c r="H142" s="16">
        <f>IFERROR(G142/SUMIFS($G$4:$G$1504,$C$4:$C$1504,$C142,$D$4:$D$1504,$D142),0)</f>
        <v/>
      </c>
      <c r="I142" s="14">
        <f>$H142*SUMIFS('Forecast Engine'!$AK$4:$AK$12,'Forecast Engine'!$A$4:$A$12,$C142,'Forecast Engine'!$B$4:$B$12,$D142)</f>
        <v/>
      </c>
      <c r="J142" s="14">
        <f>$H142*SUMIFS('Forecast Engine'!$AL$4:$AL$12,'Forecast Engine'!$A$4:$A$12,$C142,'Forecast Engine'!$B$4:$B$12,$D142)</f>
        <v/>
      </c>
      <c r="K142" s="14">
        <f>$H142*SUMIFS('Forecast Engine'!$AM$4:$AM$12,'Forecast Engine'!$A$4:$A$12,$C142,'Forecast Engine'!$B$4:$B$12,$D142)</f>
        <v/>
      </c>
      <c r="L142" s="43">
        <f>SUM(I142:K142)</f>
        <v/>
      </c>
    </row>
    <row r="143">
      <c r="A143" s="39" t="inlineStr">
        <is>
          <t>10100076</t>
        </is>
      </c>
      <c r="B143" s="39" t="inlineStr">
        <is>
          <t>Onion Shampoo for Hair Growth and Hair Fall Cont</t>
        </is>
      </c>
      <c r="C143" s="40" t="inlineStr">
        <is>
          <t>Mamaearth</t>
        </is>
      </c>
      <c r="D143" s="40" t="inlineStr">
        <is>
          <t>Hair</t>
        </is>
      </c>
      <c r="E143" s="39" t="inlineStr">
        <is>
          <t>D-Mart</t>
        </is>
      </c>
      <c r="F143" s="41" t="inlineStr">
        <is>
          <t>North</t>
        </is>
      </c>
      <c r="G143" s="42" t="n">
        <v>0.5596</v>
      </c>
      <c r="H143" s="16">
        <f>IFERROR(G143/SUMIFS($G$4:$G$1504,$C$4:$C$1504,$C143,$D$4:$D$1504,$D143),0)</f>
        <v/>
      </c>
      <c r="I143" s="14">
        <f>$H143*SUMIFS('Forecast Engine'!$AK$4:$AK$12,'Forecast Engine'!$A$4:$A$12,$C143,'Forecast Engine'!$B$4:$B$12,$D143)</f>
        <v/>
      </c>
      <c r="J143" s="14">
        <f>$H143*SUMIFS('Forecast Engine'!$AL$4:$AL$12,'Forecast Engine'!$A$4:$A$12,$C143,'Forecast Engine'!$B$4:$B$12,$D143)</f>
        <v/>
      </c>
      <c r="K143" s="14">
        <f>$H143*SUMIFS('Forecast Engine'!$AM$4:$AM$12,'Forecast Engine'!$A$4:$A$12,$C143,'Forecast Engine'!$B$4:$B$12,$D143)</f>
        <v/>
      </c>
      <c r="L143" s="43">
        <f>SUM(I143:K143)</f>
        <v/>
      </c>
    </row>
    <row r="144">
      <c r="A144" s="39" t="inlineStr">
        <is>
          <t>10100830</t>
        </is>
      </c>
      <c r="B144" s="39" t="inlineStr">
        <is>
          <t>Onion Shampoo 600 ml</t>
        </is>
      </c>
      <c r="C144" s="40" t="inlineStr">
        <is>
          <t>Mamaearth</t>
        </is>
      </c>
      <c r="D144" s="40" t="inlineStr">
        <is>
          <t>Hair</t>
        </is>
      </c>
      <c r="E144" s="39" t="inlineStr">
        <is>
          <t>G.V Enterprises</t>
        </is>
      </c>
      <c r="F144" s="41" t="inlineStr">
        <is>
          <t>South-1</t>
        </is>
      </c>
      <c r="G144" s="42" t="n">
        <v>0.55</v>
      </c>
      <c r="H144" s="16">
        <f>IFERROR(G144/SUMIFS($G$4:$G$1504,$C$4:$C$1504,$C144,$D$4:$D$1504,$D144),0)</f>
        <v/>
      </c>
      <c r="I144" s="14">
        <f>$H144*SUMIFS('Forecast Engine'!$AK$4:$AK$12,'Forecast Engine'!$A$4:$A$12,$C144,'Forecast Engine'!$B$4:$B$12,$D144)</f>
        <v/>
      </c>
      <c r="J144" s="14">
        <f>$H144*SUMIFS('Forecast Engine'!$AL$4:$AL$12,'Forecast Engine'!$A$4:$A$12,$C144,'Forecast Engine'!$B$4:$B$12,$D144)</f>
        <v/>
      </c>
      <c r="K144" s="14">
        <f>$H144*SUMIFS('Forecast Engine'!$AM$4:$AM$12,'Forecast Engine'!$A$4:$A$12,$C144,'Forecast Engine'!$B$4:$B$12,$D144)</f>
        <v/>
      </c>
      <c r="L144" s="43">
        <f>SUM(I144:K144)</f>
        <v/>
      </c>
    </row>
    <row r="145">
      <c r="A145" s="39" t="inlineStr">
        <is>
          <t>10101055</t>
        </is>
      </c>
      <c r="B145" s="39" t="inlineStr">
        <is>
          <t>ME Rosemary Anti-Hairfall Shampoo 400 ml</t>
        </is>
      </c>
      <c r="C145" s="40" t="inlineStr">
        <is>
          <t>Mamaearth</t>
        </is>
      </c>
      <c r="D145" s="40" t="inlineStr">
        <is>
          <t>Hair</t>
        </is>
      </c>
      <c r="E145" s="39" t="inlineStr">
        <is>
          <t>Apollo Healthco</t>
        </is>
      </c>
      <c r="F145" s="41" t="inlineStr">
        <is>
          <t>South-2</t>
        </is>
      </c>
      <c r="G145" s="42" t="n">
        <v>0.5293</v>
      </c>
      <c r="H145" s="16">
        <f>IFERROR(G145/SUMIFS($G$4:$G$1504,$C$4:$C$1504,$C145,$D$4:$D$1504,$D145),0)</f>
        <v/>
      </c>
      <c r="I145" s="14">
        <f>$H145*SUMIFS('Forecast Engine'!$AK$4:$AK$12,'Forecast Engine'!$A$4:$A$12,$C145,'Forecast Engine'!$B$4:$B$12,$D145)</f>
        <v/>
      </c>
      <c r="J145" s="14">
        <f>$H145*SUMIFS('Forecast Engine'!$AL$4:$AL$12,'Forecast Engine'!$A$4:$A$12,$C145,'Forecast Engine'!$B$4:$B$12,$D145)</f>
        <v/>
      </c>
      <c r="K145" s="14">
        <f>$H145*SUMIFS('Forecast Engine'!$AM$4:$AM$12,'Forecast Engine'!$A$4:$A$12,$C145,'Forecast Engine'!$B$4:$B$12,$D145)</f>
        <v/>
      </c>
      <c r="L145" s="43">
        <f>SUM(I145:K145)</f>
        <v/>
      </c>
    </row>
    <row r="146">
      <c r="A146" s="39" t="inlineStr"/>
      <c r="B146" s="39" t="inlineStr"/>
      <c r="C146" s="40" t="inlineStr">
        <is>
          <t>Mamaearth</t>
        </is>
      </c>
      <c r="D146" s="40" t="inlineStr">
        <is>
          <t>Hair</t>
        </is>
      </c>
      <c r="E146" s="39" t="inlineStr">
        <is>
          <t>Balaji Associates Distri</t>
        </is>
      </c>
      <c r="F146" s="41" t="inlineStr">
        <is>
          <t>East</t>
        </is>
      </c>
      <c r="G146" s="42" t="n">
        <v>0.4974</v>
      </c>
      <c r="H146" s="16">
        <f>IFERROR(G146/SUMIFS($G$4:$G$1504,$C$4:$C$1504,$C146,$D$4:$D$1504,$D146),0)</f>
        <v/>
      </c>
      <c r="I146" s="14">
        <f>$H146*SUMIFS('Forecast Engine'!$AK$4:$AK$12,'Forecast Engine'!$A$4:$A$12,$C146,'Forecast Engine'!$B$4:$B$12,$D146)</f>
        <v/>
      </c>
      <c r="J146" s="14">
        <f>$H146*SUMIFS('Forecast Engine'!$AL$4:$AL$12,'Forecast Engine'!$A$4:$A$12,$C146,'Forecast Engine'!$B$4:$B$12,$D146)</f>
        <v/>
      </c>
      <c r="K146" s="14">
        <f>$H146*SUMIFS('Forecast Engine'!$AM$4:$AM$12,'Forecast Engine'!$A$4:$A$12,$C146,'Forecast Engine'!$B$4:$B$12,$D146)</f>
        <v/>
      </c>
      <c r="L146" s="43">
        <f>SUM(I146:K146)</f>
        <v/>
      </c>
    </row>
    <row r="147">
      <c r="A147" s="39" t="inlineStr">
        <is>
          <t>10100830</t>
        </is>
      </c>
      <c r="B147" s="39" t="inlineStr">
        <is>
          <t>Onion Shampoo 600 ml</t>
        </is>
      </c>
      <c r="C147" s="40" t="inlineStr">
        <is>
          <t>Mamaearth</t>
        </is>
      </c>
      <c r="D147" s="40" t="inlineStr">
        <is>
          <t>Hair</t>
        </is>
      </c>
      <c r="E147" s="39" t="inlineStr">
        <is>
          <t>D-Mart</t>
        </is>
      </c>
      <c r="F147" s="41" t="inlineStr">
        <is>
          <t>South-2</t>
        </is>
      </c>
      <c r="G147" s="42" t="n">
        <v>0.4922</v>
      </c>
      <c r="H147" s="16">
        <f>IFERROR(G147/SUMIFS($G$4:$G$1504,$C$4:$C$1504,$C147,$D$4:$D$1504,$D147),0)</f>
        <v/>
      </c>
      <c r="I147" s="14">
        <f>$H147*SUMIFS('Forecast Engine'!$AK$4:$AK$12,'Forecast Engine'!$A$4:$A$12,$C147,'Forecast Engine'!$B$4:$B$12,$D147)</f>
        <v/>
      </c>
      <c r="J147" s="14">
        <f>$H147*SUMIFS('Forecast Engine'!$AL$4:$AL$12,'Forecast Engine'!$A$4:$A$12,$C147,'Forecast Engine'!$B$4:$B$12,$D147)</f>
        <v/>
      </c>
      <c r="K147" s="14">
        <f>$H147*SUMIFS('Forecast Engine'!$AM$4:$AM$12,'Forecast Engine'!$A$4:$A$12,$C147,'Forecast Engine'!$B$4:$B$12,$D147)</f>
        <v/>
      </c>
      <c r="L147" s="43">
        <f>SUM(I147:K147)</f>
        <v/>
      </c>
    </row>
    <row r="148">
      <c r="A148" s="39" t="inlineStr">
        <is>
          <t>10101112</t>
        </is>
      </c>
      <c r="B148" s="39" t="inlineStr">
        <is>
          <t>Lemon Anti-Dandruff Shampoo 400 ml</t>
        </is>
      </c>
      <c r="C148" s="40" t="inlineStr">
        <is>
          <t>Mamaearth</t>
        </is>
      </c>
      <c r="D148" s="40" t="inlineStr">
        <is>
          <t>Hair</t>
        </is>
      </c>
      <c r="E148" s="39" t="inlineStr">
        <is>
          <t>Reliance Retail Limited</t>
        </is>
      </c>
      <c r="F148" s="41" t="inlineStr">
        <is>
          <t>North</t>
        </is>
      </c>
      <c r="G148" s="42" t="n">
        <v>0.487</v>
      </c>
      <c r="H148" s="16">
        <f>IFERROR(G148/SUMIFS($G$4:$G$1504,$C$4:$C$1504,$C148,$D$4:$D$1504,$D148),0)</f>
        <v/>
      </c>
      <c r="I148" s="14">
        <f>$H148*SUMIFS('Forecast Engine'!$AK$4:$AK$12,'Forecast Engine'!$A$4:$A$12,$C148,'Forecast Engine'!$B$4:$B$12,$D148)</f>
        <v/>
      </c>
      <c r="J148" s="14">
        <f>$H148*SUMIFS('Forecast Engine'!$AL$4:$AL$12,'Forecast Engine'!$A$4:$A$12,$C148,'Forecast Engine'!$B$4:$B$12,$D148)</f>
        <v/>
      </c>
      <c r="K148" s="14">
        <f>$H148*SUMIFS('Forecast Engine'!$AM$4:$AM$12,'Forecast Engine'!$A$4:$A$12,$C148,'Forecast Engine'!$B$4:$B$12,$D148)</f>
        <v/>
      </c>
      <c r="L148" s="43">
        <f>SUM(I148:K148)</f>
        <v/>
      </c>
    </row>
    <row r="149">
      <c r="A149" s="39" t="inlineStr">
        <is>
          <t>10100076</t>
        </is>
      </c>
      <c r="B149" s="39" t="inlineStr">
        <is>
          <t>Onion Shampoo for Hair Growth and Hair Fall Cont</t>
        </is>
      </c>
      <c r="C149" s="40" t="inlineStr">
        <is>
          <t>Mamaearth</t>
        </is>
      </c>
      <c r="D149" s="40" t="inlineStr">
        <is>
          <t>Hair</t>
        </is>
      </c>
      <c r="E149" s="39" t="inlineStr">
        <is>
          <t>G.V Enterprises</t>
        </is>
      </c>
      <c r="F149" s="41" t="inlineStr">
        <is>
          <t>South-1</t>
        </is>
      </c>
      <c r="G149" s="42" t="n">
        <v>0.4863</v>
      </c>
      <c r="H149" s="16">
        <f>IFERROR(G149/SUMIFS($G$4:$G$1504,$C$4:$C$1504,$C149,$D$4:$D$1504,$D149),0)</f>
        <v/>
      </c>
      <c r="I149" s="14">
        <f>$H149*SUMIFS('Forecast Engine'!$AK$4:$AK$12,'Forecast Engine'!$A$4:$A$12,$C149,'Forecast Engine'!$B$4:$B$12,$D149)</f>
        <v/>
      </c>
      <c r="J149" s="14">
        <f>$H149*SUMIFS('Forecast Engine'!$AL$4:$AL$12,'Forecast Engine'!$A$4:$A$12,$C149,'Forecast Engine'!$B$4:$B$12,$D149)</f>
        <v/>
      </c>
      <c r="K149" s="14">
        <f>$H149*SUMIFS('Forecast Engine'!$AM$4:$AM$12,'Forecast Engine'!$A$4:$A$12,$C149,'Forecast Engine'!$B$4:$B$12,$D149)</f>
        <v/>
      </c>
      <c r="L149" s="43">
        <f>SUM(I149:K149)</f>
        <v/>
      </c>
    </row>
    <row r="150">
      <c r="A150" s="39" t="inlineStr"/>
      <c r="B150" s="39" t="inlineStr"/>
      <c r="C150" s="40" t="inlineStr">
        <is>
          <t>Mamaearth</t>
        </is>
      </c>
      <c r="D150" s="40" t="inlineStr">
        <is>
          <t>Hair</t>
        </is>
      </c>
      <c r="E150" s="39" t="inlineStr">
        <is>
          <t>D.L. Sales - MT</t>
        </is>
      </c>
      <c r="F150" s="41" t="inlineStr">
        <is>
          <t>East</t>
        </is>
      </c>
      <c r="G150" s="42" t="n">
        <v>0.4752</v>
      </c>
      <c r="H150" s="16">
        <f>IFERROR(G150/SUMIFS($G$4:$G$1504,$C$4:$C$1504,$C150,$D$4:$D$1504,$D150),0)</f>
        <v/>
      </c>
      <c r="I150" s="14">
        <f>$H150*SUMIFS('Forecast Engine'!$AK$4:$AK$12,'Forecast Engine'!$A$4:$A$12,$C150,'Forecast Engine'!$B$4:$B$12,$D150)</f>
        <v/>
      </c>
      <c r="J150" s="14">
        <f>$H150*SUMIFS('Forecast Engine'!$AL$4:$AL$12,'Forecast Engine'!$A$4:$A$12,$C150,'Forecast Engine'!$B$4:$B$12,$D150)</f>
        <v/>
      </c>
      <c r="K150" s="14">
        <f>$H150*SUMIFS('Forecast Engine'!$AM$4:$AM$12,'Forecast Engine'!$A$4:$A$12,$C150,'Forecast Engine'!$B$4:$B$12,$D150)</f>
        <v/>
      </c>
      <c r="L150" s="43">
        <f>SUM(I150:K150)</f>
        <v/>
      </c>
    </row>
    <row r="151">
      <c r="A151" s="39" t="inlineStr">
        <is>
          <t>10100076</t>
        </is>
      </c>
      <c r="B151" s="39" t="inlineStr">
        <is>
          <t>Onion Shampoo for Hair Growth and Hair Fall Cont</t>
        </is>
      </c>
      <c r="C151" s="40" t="inlineStr">
        <is>
          <t>Mamaearth</t>
        </is>
      </c>
      <c r="D151" s="40" t="inlineStr">
        <is>
          <t>Hair</t>
        </is>
      </c>
      <c r="E151" s="39" t="inlineStr">
        <is>
          <t>D-Mart</t>
        </is>
      </c>
      <c r="F151" s="41" t="inlineStr">
        <is>
          <t>South-1</t>
        </is>
      </c>
      <c r="G151" s="42" t="n">
        <v>0.4568</v>
      </c>
      <c r="H151" s="16">
        <f>IFERROR(G151/SUMIFS($G$4:$G$1504,$C$4:$C$1504,$C151,$D$4:$D$1504,$D151),0)</f>
        <v/>
      </c>
      <c r="I151" s="14">
        <f>$H151*SUMIFS('Forecast Engine'!$AK$4:$AK$12,'Forecast Engine'!$A$4:$A$12,$C151,'Forecast Engine'!$B$4:$B$12,$D151)</f>
        <v/>
      </c>
      <c r="J151" s="14">
        <f>$H151*SUMIFS('Forecast Engine'!$AL$4:$AL$12,'Forecast Engine'!$A$4:$A$12,$C151,'Forecast Engine'!$B$4:$B$12,$D151)</f>
        <v/>
      </c>
      <c r="K151" s="14">
        <f>$H151*SUMIFS('Forecast Engine'!$AM$4:$AM$12,'Forecast Engine'!$A$4:$A$12,$C151,'Forecast Engine'!$B$4:$B$12,$D151)</f>
        <v/>
      </c>
      <c r="L151" s="43">
        <f>SUM(I151:K151)</f>
        <v/>
      </c>
    </row>
    <row r="152">
      <c r="A152" s="39" t="inlineStr">
        <is>
          <t>10100076</t>
        </is>
      </c>
      <c r="B152" s="39" t="inlineStr">
        <is>
          <t>Onion Shampoo for Hair Growth and Hair Fall Cont</t>
        </is>
      </c>
      <c r="C152" s="40" t="inlineStr">
        <is>
          <t>Mamaearth</t>
        </is>
      </c>
      <c r="D152" s="40" t="inlineStr">
        <is>
          <t>Hair</t>
        </is>
      </c>
      <c r="E152" s="39" t="inlineStr">
        <is>
          <t>Sri Vijaya Durga Agencie</t>
        </is>
      </c>
      <c r="F152" s="41" t="inlineStr">
        <is>
          <t>South-2</t>
        </is>
      </c>
      <c r="G152" s="42" t="n">
        <v>0.4555</v>
      </c>
      <c r="H152" s="16">
        <f>IFERROR(G152/SUMIFS($G$4:$G$1504,$C$4:$C$1504,$C152,$D$4:$D$1504,$D152),0)</f>
        <v/>
      </c>
      <c r="I152" s="14">
        <f>$H152*SUMIFS('Forecast Engine'!$AK$4:$AK$12,'Forecast Engine'!$A$4:$A$12,$C152,'Forecast Engine'!$B$4:$B$12,$D152)</f>
        <v/>
      </c>
      <c r="J152" s="14">
        <f>$H152*SUMIFS('Forecast Engine'!$AL$4:$AL$12,'Forecast Engine'!$A$4:$A$12,$C152,'Forecast Engine'!$B$4:$B$12,$D152)</f>
        <v/>
      </c>
      <c r="K152" s="14">
        <f>$H152*SUMIFS('Forecast Engine'!$AM$4:$AM$12,'Forecast Engine'!$A$4:$A$12,$C152,'Forecast Engine'!$B$4:$B$12,$D152)</f>
        <v/>
      </c>
      <c r="L152" s="43">
        <f>SUM(I152:K152)</f>
        <v/>
      </c>
    </row>
    <row r="153">
      <c r="A153" s="39" t="inlineStr"/>
      <c r="B153" s="39" t="inlineStr"/>
      <c r="C153" s="40" t="inlineStr">
        <is>
          <t>Mamaearth</t>
        </is>
      </c>
      <c r="D153" s="40" t="inlineStr">
        <is>
          <t>Hair</t>
        </is>
      </c>
      <c r="E153" s="39" t="inlineStr">
        <is>
          <t>Apollo Healthco</t>
        </is>
      </c>
      <c r="F153" s="41" t="inlineStr">
        <is>
          <t>East</t>
        </is>
      </c>
      <c r="G153" s="42" t="n">
        <v>0.4382</v>
      </c>
      <c r="H153" s="16">
        <f>IFERROR(G153/SUMIFS($G$4:$G$1504,$C$4:$C$1504,$C153,$D$4:$D$1504,$D153),0)</f>
        <v/>
      </c>
      <c r="I153" s="14">
        <f>$H153*SUMIFS('Forecast Engine'!$AK$4:$AK$12,'Forecast Engine'!$A$4:$A$12,$C153,'Forecast Engine'!$B$4:$B$12,$D153)</f>
        <v/>
      </c>
      <c r="J153" s="14">
        <f>$H153*SUMIFS('Forecast Engine'!$AL$4:$AL$12,'Forecast Engine'!$A$4:$A$12,$C153,'Forecast Engine'!$B$4:$B$12,$D153)</f>
        <v/>
      </c>
      <c r="K153" s="14">
        <f>$H153*SUMIFS('Forecast Engine'!$AM$4:$AM$12,'Forecast Engine'!$A$4:$A$12,$C153,'Forecast Engine'!$B$4:$B$12,$D153)</f>
        <v/>
      </c>
      <c r="L153" s="43">
        <f>SUM(I153:K153)</f>
        <v/>
      </c>
    </row>
    <row r="154">
      <c r="A154" s="39" t="inlineStr"/>
      <c r="B154" s="39" t="inlineStr"/>
      <c r="C154" s="40" t="inlineStr">
        <is>
          <t>Mamaearth</t>
        </is>
      </c>
      <c r="D154" s="40" t="inlineStr">
        <is>
          <t>Hair</t>
        </is>
      </c>
      <c r="E154" s="39" t="inlineStr">
        <is>
          <t xml:space="preserve">Sancus Networks Private </t>
        </is>
      </c>
      <c r="F154" s="41" t="inlineStr">
        <is>
          <t>North</t>
        </is>
      </c>
      <c r="G154" s="42" t="n">
        <v>0.4111</v>
      </c>
      <c r="H154" s="16">
        <f>IFERROR(G154/SUMIFS($G$4:$G$1504,$C$4:$C$1504,$C154,$D$4:$D$1504,$D154),0)</f>
        <v/>
      </c>
      <c r="I154" s="14">
        <f>$H154*SUMIFS('Forecast Engine'!$AK$4:$AK$12,'Forecast Engine'!$A$4:$A$12,$C154,'Forecast Engine'!$B$4:$B$12,$D154)</f>
        <v/>
      </c>
      <c r="J154" s="14">
        <f>$H154*SUMIFS('Forecast Engine'!$AL$4:$AL$12,'Forecast Engine'!$A$4:$A$12,$C154,'Forecast Engine'!$B$4:$B$12,$D154)</f>
        <v/>
      </c>
      <c r="K154" s="14">
        <f>$H154*SUMIFS('Forecast Engine'!$AM$4:$AM$12,'Forecast Engine'!$A$4:$A$12,$C154,'Forecast Engine'!$B$4:$B$12,$D154)</f>
        <v/>
      </c>
      <c r="L154" s="43">
        <f>SUM(I154:K154)</f>
        <v/>
      </c>
    </row>
    <row r="155">
      <c r="A155" s="39" t="inlineStr"/>
      <c r="B155" s="39" t="inlineStr"/>
      <c r="C155" s="40" t="inlineStr">
        <is>
          <t>Mamaearth</t>
        </is>
      </c>
      <c r="D155" s="40" t="inlineStr">
        <is>
          <t>Hair</t>
        </is>
      </c>
      <c r="E155" s="39" t="inlineStr">
        <is>
          <t>Nykaa E-Retail Limited</t>
        </is>
      </c>
      <c r="F155" s="41" t="inlineStr">
        <is>
          <t>East</t>
        </is>
      </c>
      <c r="G155" s="42" t="n">
        <v>0.4054</v>
      </c>
      <c r="H155" s="16">
        <f>IFERROR(G155/SUMIFS($G$4:$G$1504,$C$4:$C$1504,$C155,$D$4:$D$1504,$D155),0)</f>
        <v/>
      </c>
      <c r="I155" s="14">
        <f>$H155*SUMIFS('Forecast Engine'!$AK$4:$AK$12,'Forecast Engine'!$A$4:$A$12,$C155,'Forecast Engine'!$B$4:$B$12,$D155)</f>
        <v/>
      </c>
      <c r="J155" s="14">
        <f>$H155*SUMIFS('Forecast Engine'!$AL$4:$AL$12,'Forecast Engine'!$A$4:$A$12,$C155,'Forecast Engine'!$B$4:$B$12,$D155)</f>
        <v/>
      </c>
      <c r="K155" s="14">
        <f>$H155*SUMIFS('Forecast Engine'!$AM$4:$AM$12,'Forecast Engine'!$A$4:$A$12,$C155,'Forecast Engine'!$B$4:$B$12,$D155)</f>
        <v/>
      </c>
      <c r="L155" s="43">
        <f>SUM(I155:K155)</f>
        <v/>
      </c>
    </row>
    <row r="156">
      <c r="A156" s="39" t="inlineStr">
        <is>
          <t>10101208</t>
        </is>
      </c>
      <c r="B156" s="39" t="inlineStr">
        <is>
          <t>Rosemary Anti-Hairfall Shampoo 600 ml</t>
        </is>
      </c>
      <c r="C156" s="40" t="inlineStr">
        <is>
          <t>Mamaearth</t>
        </is>
      </c>
      <c r="D156" s="40" t="inlineStr">
        <is>
          <t>Hair</t>
        </is>
      </c>
      <c r="E156" s="39" t="inlineStr">
        <is>
          <t>G.V Enterprises</t>
        </is>
      </c>
      <c r="F156" s="41" t="inlineStr">
        <is>
          <t>South-1</t>
        </is>
      </c>
      <c r="G156" s="42" t="n">
        <v>0.3918</v>
      </c>
      <c r="H156" s="16">
        <f>IFERROR(G156/SUMIFS($G$4:$G$1504,$C$4:$C$1504,$C156,$D$4:$D$1504,$D156),0)</f>
        <v/>
      </c>
      <c r="I156" s="14">
        <f>$H156*SUMIFS('Forecast Engine'!$AK$4:$AK$12,'Forecast Engine'!$A$4:$A$12,$C156,'Forecast Engine'!$B$4:$B$12,$D156)</f>
        <v/>
      </c>
      <c r="J156" s="14">
        <f>$H156*SUMIFS('Forecast Engine'!$AL$4:$AL$12,'Forecast Engine'!$A$4:$A$12,$C156,'Forecast Engine'!$B$4:$B$12,$D156)</f>
        <v/>
      </c>
      <c r="K156" s="14">
        <f>$H156*SUMIFS('Forecast Engine'!$AM$4:$AM$12,'Forecast Engine'!$A$4:$A$12,$C156,'Forecast Engine'!$B$4:$B$12,$D156)</f>
        <v/>
      </c>
      <c r="L156" s="43">
        <f>SUM(I156:K156)</f>
        <v/>
      </c>
    </row>
    <row r="157">
      <c r="A157" s="39" t="inlineStr">
        <is>
          <t>10101112</t>
        </is>
      </c>
      <c r="B157" s="39" t="inlineStr">
        <is>
          <t>Lemon Anti-Dandruff Shampoo 400 ml</t>
        </is>
      </c>
      <c r="C157" s="40" t="inlineStr">
        <is>
          <t>Mamaearth</t>
        </is>
      </c>
      <c r="D157" s="40" t="inlineStr">
        <is>
          <t>Hair</t>
        </is>
      </c>
      <c r="E157" s="39" t="inlineStr">
        <is>
          <t>Reliance Retail Limited</t>
        </is>
      </c>
      <c r="F157" s="41" t="inlineStr">
        <is>
          <t>West</t>
        </is>
      </c>
      <c r="G157" s="42" t="n">
        <v>0.3753</v>
      </c>
      <c r="H157" s="16">
        <f>IFERROR(G157/SUMIFS($G$4:$G$1504,$C$4:$C$1504,$C157,$D$4:$D$1504,$D157),0)</f>
        <v/>
      </c>
      <c r="I157" s="14">
        <f>$H157*SUMIFS('Forecast Engine'!$AK$4:$AK$12,'Forecast Engine'!$A$4:$A$12,$C157,'Forecast Engine'!$B$4:$B$12,$D157)</f>
        <v/>
      </c>
      <c r="J157" s="14">
        <f>$H157*SUMIFS('Forecast Engine'!$AL$4:$AL$12,'Forecast Engine'!$A$4:$A$12,$C157,'Forecast Engine'!$B$4:$B$12,$D157)</f>
        <v/>
      </c>
      <c r="K157" s="14">
        <f>$H157*SUMIFS('Forecast Engine'!$AM$4:$AM$12,'Forecast Engine'!$A$4:$A$12,$C157,'Forecast Engine'!$B$4:$B$12,$D157)</f>
        <v/>
      </c>
      <c r="L157" s="43">
        <f>SUM(I157:K157)</f>
        <v/>
      </c>
    </row>
    <row r="158">
      <c r="A158" s="39" t="inlineStr">
        <is>
          <t>10100830</t>
        </is>
      </c>
      <c r="B158" s="39" t="inlineStr">
        <is>
          <t>Onion Shampoo 600 ml</t>
        </is>
      </c>
      <c r="C158" s="40" t="inlineStr">
        <is>
          <t>Mamaearth</t>
        </is>
      </c>
      <c r="D158" s="40" t="inlineStr">
        <is>
          <t>Hair</t>
        </is>
      </c>
      <c r="E158" s="39" t="inlineStr">
        <is>
          <t>Kiran Trading Company</t>
        </is>
      </c>
      <c r="F158" s="41" t="inlineStr">
        <is>
          <t>West</t>
        </is>
      </c>
      <c r="G158" s="42" t="n">
        <v>0.372</v>
      </c>
      <c r="H158" s="16">
        <f>IFERROR(G158/SUMIFS($G$4:$G$1504,$C$4:$C$1504,$C158,$D$4:$D$1504,$D158),0)</f>
        <v/>
      </c>
      <c r="I158" s="14">
        <f>$H158*SUMIFS('Forecast Engine'!$AK$4:$AK$12,'Forecast Engine'!$A$4:$A$12,$C158,'Forecast Engine'!$B$4:$B$12,$D158)</f>
        <v/>
      </c>
      <c r="J158" s="14">
        <f>$H158*SUMIFS('Forecast Engine'!$AL$4:$AL$12,'Forecast Engine'!$A$4:$A$12,$C158,'Forecast Engine'!$B$4:$B$12,$D158)</f>
        <v/>
      </c>
      <c r="K158" s="14">
        <f>$H158*SUMIFS('Forecast Engine'!$AM$4:$AM$12,'Forecast Engine'!$A$4:$A$12,$C158,'Forecast Engine'!$B$4:$B$12,$D158)</f>
        <v/>
      </c>
      <c r="L158" s="43">
        <f>SUM(I158:K158)</f>
        <v/>
      </c>
    </row>
    <row r="159">
      <c r="A159" s="39" t="inlineStr">
        <is>
          <t>10100076</t>
        </is>
      </c>
      <c r="B159" s="39" t="inlineStr">
        <is>
          <t>Onion Shampoo for Hair Growth and Hair Fall Cont</t>
        </is>
      </c>
      <c r="C159" s="40" t="inlineStr">
        <is>
          <t>Mamaearth</t>
        </is>
      </c>
      <c r="D159" s="40" t="inlineStr">
        <is>
          <t>Hair</t>
        </is>
      </c>
      <c r="E159" s="39" t="inlineStr">
        <is>
          <t>D-Mart</t>
        </is>
      </c>
      <c r="F159" s="41" t="inlineStr">
        <is>
          <t>South-2</t>
        </is>
      </c>
      <c r="G159" s="42" t="n">
        <v>0.3701</v>
      </c>
      <c r="H159" s="16">
        <f>IFERROR(G159/SUMIFS($G$4:$G$1504,$C$4:$C$1504,$C159,$D$4:$D$1504,$D159),0)</f>
        <v/>
      </c>
      <c r="I159" s="14">
        <f>$H159*SUMIFS('Forecast Engine'!$AK$4:$AK$12,'Forecast Engine'!$A$4:$A$12,$C159,'Forecast Engine'!$B$4:$B$12,$D159)</f>
        <v/>
      </c>
      <c r="J159" s="14">
        <f>$H159*SUMIFS('Forecast Engine'!$AL$4:$AL$12,'Forecast Engine'!$A$4:$A$12,$C159,'Forecast Engine'!$B$4:$B$12,$D159)</f>
        <v/>
      </c>
      <c r="K159" s="14">
        <f>$H159*SUMIFS('Forecast Engine'!$AM$4:$AM$12,'Forecast Engine'!$A$4:$A$12,$C159,'Forecast Engine'!$B$4:$B$12,$D159)</f>
        <v/>
      </c>
      <c r="L159" s="43">
        <f>SUM(I159:K159)</f>
        <v/>
      </c>
    </row>
    <row r="160">
      <c r="A160" s="39" t="inlineStr"/>
      <c r="B160" s="39" t="inlineStr"/>
      <c r="C160" s="40" t="inlineStr">
        <is>
          <t>Mamaearth</t>
        </is>
      </c>
      <c r="D160" s="40" t="inlineStr">
        <is>
          <t>Hair</t>
        </is>
      </c>
      <c r="E160" s="39" t="inlineStr">
        <is>
          <t>Az Enterprises</t>
        </is>
      </c>
      <c r="F160" s="41" t="inlineStr">
        <is>
          <t>South-1</t>
        </is>
      </c>
      <c r="G160" s="42" t="n">
        <v>0.3591</v>
      </c>
      <c r="H160" s="16">
        <f>IFERROR(G160/SUMIFS($G$4:$G$1504,$C$4:$C$1504,$C160,$D$4:$D$1504,$D160),0)</f>
        <v/>
      </c>
      <c r="I160" s="14">
        <f>$H160*SUMIFS('Forecast Engine'!$AK$4:$AK$12,'Forecast Engine'!$A$4:$A$12,$C160,'Forecast Engine'!$B$4:$B$12,$D160)</f>
        <v/>
      </c>
      <c r="J160" s="14">
        <f>$H160*SUMIFS('Forecast Engine'!$AL$4:$AL$12,'Forecast Engine'!$A$4:$A$12,$C160,'Forecast Engine'!$B$4:$B$12,$D160)</f>
        <v/>
      </c>
      <c r="K160" s="14">
        <f>$H160*SUMIFS('Forecast Engine'!$AM$4:$AM$12,'Forecast Engine'!$A$4:$A$12,$C160,'Forecast Engine'!$B$4:$B$12,$D160)</f>
        <v/>
      </c>
      <c r="L160" s="43">
        <f>SUM(I160:K160)</f>
        <v/>
      </c>
    </row>
    <row r="161">
      <c r="A161" s="39" t="inlineStr">
        <is>
          <t>10101208</t>
        </is>
      </c>
      <c r="B161" s="39" t="inlineStr">
        <is>
          <t>Rosemary Anti-Hairfall Shampoo 600 ml</t>
        </is>
      </c>
      <c r="C161" s="40" t="inlineStr">
        <is>
          <t>Mamaearth</t>
        </is>
      </c>
      <c r="D161" s="40" t="inlineStr">
        <is>
          <t>Hair</t>
        </is>
      </c>
      <c r="E161" s="39" t="inlineStr">
        <is>
          <t>D-Mart</t>
        </is>
      </c>
      <c r="F161" s="41" t="inlineStr">
        <is>
          <t>South-1</t>
        </is>
      </c>
      <c r="G161" s="42" t="n">
        <v>0.3534</v>
      </c>
      <c r="H161" s="16">
        <f>IFERROR(G161/SUMIFS($G$4:$G$1504,$C$4:$C$1504,$C161,$D$4:$D$1504,$D161),0)</f>
        <v/>
      </c>
      <c r="I161" s="14">
        <f>$H161*SUMIFS('Forecast Engine'!$AK$4:$AK$12,'Forecast Engine'!$A$4:$A$12,$C161,'Forecast Engine'!$B$4:$B$12,$D161)</f>
        <v/>
      </c>
      <c r="J161" s="14">
        <f>$H161*SUMIFS('Forecast Engine'!$AL$4:$AL$12,'Forecast Engine'!$A$4:$A$12,$C161,'Forecast Engine'!$B$4:$B$12,$D161)</f>
        <v/>
      </c>
      <c r="K161" s="14">
        <f>$H161*SUMIFS('Forecast Engine'!$AM$4:$AM$12,'Forecast Engine'!$A$4:$A$12,$C161,'Forecast Engine'!$B$4:$B$12,$D161)</f>
        <v/>
      </c>
      <c r="L161" s="43">
        <f>SUM(I161:K161)</f>
        <v/>
      </c>
    </row>
    <row r="162">
      <c r="A162" s="39" t="inlineStr"/>
      <c r="B162" s="39" t="inlineStr"/>
      <c r="C162" s="40" t="inlineStr">
        <is>
          <t>Mamaearth</t>
        </is>
      </c>
      <c r="D162" s="40" t="inlineStr">
        <is>
          <t>Hair</t>
        </is>
      </c>
      <c r="E162" s="39" t="inlineStr">
        <is>
          <t>Apollo Healthco</t>
        </is>
      </c>
      <c r="F162" s="41" t="inlineStr">
        <is>
          <t>West</t>
        </is>
      </c>
      <c r="G162" s="42" t="n">
        <v>0.3351</v>
      </c>
      <c r="H162" s="16">
        <f>IFERROR(G162/SUMIFS($G$4:$G$1504,$C$4:$C$1504,$C162,$D$4:$D$1504,$D162),0)</f>
        <v/>
      </c>
      <c r="I162" s="14">
        <f>$H162*SUMIFS('Forecast Engine'!$AK$4:$AK$12,'Forecast Engine'!$A$4:$A$12,$C162,'Forecast Engine'!$B$4:$B$12,$D162)</f>
        <v/>
      </c>
      <c r="J162" s="14">
        <f>$H162*SUMIFS('Forecast Engine'!$AL$4:$AL$12,'Forecast Engine'!$A$4:$A$12,$C162,'Forecast Engine'!$B$4:$B$12,$D162)</f>
        <v/>
      </c>
      <c r="K162" s="14">
        <f>$H162*SUMIFS('Forecast Engine'!$AM$4:$AM$12,'Forecast Engine'!$A$4:$A$12,$C162,'Forecast Engine'!$B$4:$B$12,$D162)</f>
        <v/>
      </c>
      <c r="L162" s="43">
        <f>SUM(I162:K162)</f>
        <v/>
      </c>
    </row>
    <row r="163">
      <c r="A163" s="39" t="inlineStr">
        <is>
          <t>10100099</t>
        </is>
      </c>
      <c r="B163" s="39" t="inlineStr">
        <is>
          <t>Onion Shampoo for Hair Growth and Hair Fall Cont</t>
        </is>
      </c>
      <c r="C163" s="40" t="inlineStr">
        <is>
          <t>Mamaearth</t>
        </is>
      </c>
      <c r="D163" s="40" t="inlineStr">
        <is>
          <t>Hair</t>
        </is>
      </c>
      <c r="E163" s="39" t="inlineStr">
        <is>
          <t>Balaji Associates Distri</t>
        </is>
      </c>
      <c r="F163" s="41" t="inlineStr">
        <is>
          <t>East</t>
        </is>
      </c>
      <c r="G163" s="42" t="n">
        <v>0.3194</v>
      </c>
      <c r="H163" s="16">
        <f>IFERROR(G163/SUMIFS($G$4:$G$1504,$C$4:$C$1504,$C163,$D$4:$D$1504,$D163),0)</f>
        <v/>
      </c>
      <c r="I163" s="14">
        <f>$H163*SUMIFS('Forecast Engine'!$AK$4:$AK$12,'Forecast Engine'!$A$4:$A$12,$C163,'Forecast Engine'!$B$4:$B$12,$D163)</f>
        <v/>
      </c>
      <c r="J163" s="14">
        <f>$H163*SUMIFS('Forecast Engine'!$AL$4:$AL$12,'Forecast Engine'!$A$4:$A$12,$C163,'Forecast Engine'!$B$4:$B$12,$D163)</f>
        <v/>
      </c>
      <c r="K163" s="14">
        <f>$H163*SUMIFS('Forecast Engine'!$AM$4:$AM$12,'Forecast Engine'!$A$4:$A$12,$C163,'Forecast Engine'!$B$4:$B$12,$D163)</f>
        <v/>
      </c>
      <c r="L163" s="43">
        <f>SUM(I163:K163)</f>
        <v/>
      </c>
    </row>
    <row r="164">
      <c r="A164" s="39" t="inlineStr">
        <is>
          <t>10100076</t>
        </is>
      </c>
      <c r="B164" s="39" t="inlineStr">
        <is>
          <t>Onion Shampoo for Hair Growth and Hair Fall Cont</t>
        </is>
      </c>
      <c r="C164" s="40" t="inlineStr">
        <is>
          <t>Mamaearth</t>
        </is>
      </c>
      <c r="D164" s="40" t="inlineStr">
        <is>
          <t>Hair</t>
        </is>
      </c>
      <c r="E164" s="39" t="inlineStr">
        <is>
          <t>Reliance Retail Limited</t>
        </is>
      </c>
      <c r="F164" s="41" t="inlineStr">
        <is>
          <t>North</t>
        </is>
      </c>
      <c r="G164" s="42" t="n">
        <v>0.3189</v>
      </c>
      <c r="H164" s="16">
        <f>IFERROR(G164/SUMIFS($G$4:$G$1504,$C$4:$C$1504,$C164,$D$4:$D$1504,$D164),0)</f>
        <v/>
      </c>
      <c r="I164" s="14">
        <f>$H164*SUMIFS('Forecast Engine'!$AK$4:$AK$12,'Forecast Engine'!$A$4:$A$12,$C164,'Forecast Engine'!$B$4:$B$12,$D164)</f>
        <v/>
      </c>
      <c r="J164" s="14">
        <f>$H164*SUMIFS('Forecast Engine'!$AL$4:$AL$12,'Forecast Engine'!$A$4:$A$12,$C164,'Forecast Engine'!$B$4:$B$12,$D164)</f>
        <v/>
      </c>
      <c r="K164" s="14">
        <f>$H164*SUMIFS('Forecast Engine'!$AM$4:$AM$12,'Forecast Engine'!$A$4:$A$12,$C164,'Forecast Engine'!$B$4:$B$12,$D164)</f>
        <v/>
      </c>
      <c r="L164" s="43">
        <f>SUM(I164:K164)</f>
        <v/>
      </c>
    </row>
    <row r="165">
      <c r="A165" s="39" t="inlineStr">
        <is>
          <t>10101045</t>
        </is>
      </c>
      <c r="B165" s="39" t="inlineStr">
        <is>
          <t>Onion Shampoo 650ml</t>
        </is>
      </c>
      <c r="C165" s="40" t="inlineStr">
        <is>
          <t>Mamaearth</t>
        </is>
      </c>
      <c r="D165" s="40" t="inlineStr">
        <is>
          <t>Hair</t>
        </is>
      </c>
      <c r="E165" s="39" t="inlineStr">
        <is>
          <t>Reliance Retail Limited</t>
        </is>
      </c>
      <c r="F165" s="41" t="inlineStr">
        <is>
          <t>East</t>
        </is>
      </c>
      <c r="G165" s="42" t="n">
        <v>0.3179</v>
      </c>
      <c r="H165" s="16">
        <f>IFERROR(G165/SUMIFS($G$4:$G$1504,$C$4:$C$1504,$C165,$D$4:$D$1504,$D165),0)</f>
        <v/>
      </c>
      <c r="I165" s="14">
        <f>$H165*SUMIFS('Forecast Engine'!$AK$4:$AK$12,'Forecast Engine'!$A$4:$A$12,$C165,'Forecast Engine'!$B$4:$B$12,$D165)</f>
        <v/>
      </c>
      <c r="J165" s="14">
        <f>$H165*SUMIFS('Forecast Engine'!$AL$4:$AL$12,'Forecast Engine'!$A$4:$A$12,$C165,'Forecast Engine'!$B$4:$B$12,$D165)</f>
        <v/>
      </c>
      <c r="K165" s="14">
        <f>$H165*SUMIFS('Forecast Engine'!$AM$4:$AM$12,'Forecast Engine'!$A$4:$A$12,$C165,'Forecast Engine'!$B$4:$B$12,$D165)</f>
        <v/>
      </c>
      <c r="L165" s="43">
        <f>SUM(I165:K165)</f>
        <v/>
      </c>
    </row>
    <row r="166">
      <c r="A166" s="39" t="inlineStr">
        <is>
          <t>10101055</t>
        </is>
      </c>
      <c r="B166" s="39" t="inlineStr">
        <is>
          <t>ME Rosemary Anti-Hairfall Shampoo 400 ml</t>
        </is>
      </c>
      <c r="C166" s="40" t="inlineStr">
        <is>
          <t>Mamaearth</t>
        </is>
      </c>
      <c r="D166" s="40" t="inlineStr">
        <is>
          <t>Hair</t>
        </is>
      </c>
      <c r="E166" s="39" t="inlineStr">
        <is>
          <t>Sri Vijaya Durga Agencie</t>
        </is>
      </c>
      <c r="F166" s="41" t="inlineStr">
        <is>
          <t>South-2</t>
        </is>
      </c>
      <c r="G166" s="42" t="n">
        <v>0.3125</v>
      </c>
      <c r="H166" s="16">
        <f>IFERROR(G166/SUMIFS($G$4:$G$1504,$C$4:$C$1504,$C166,$D$4:$D$1504,$D166),0)</f>
        <v/>
      </c>
      <c r="I166" s="14">
        <f>$H166*SUMIFS('Forecast Engine'!$AK$4:$AK$12,'Forecast Engine'!$A$4:$A$12,$C166,'Forecast Engine'!$B$4:$B$12,$D166)</f>
        <v/>
      </c>
      <c r="J166" s="14">
        <f>$H166*SUMIFS('Forecast Engine'!$AL$4:$AL$12,'Forecast Engine'!$A$4:$A$12,$C166,'Forecast Engine'!$B$4:$B$12,$D166)</f>
        <v/>
      </c>
      <c r="K166" s="14">
        <f>$H166*SUMIFS('Forecast Engine'!$AM$4:$AM$12,'Forecast Engine'!$A$4:$A$12,$C166,'Forecast Engine'!$B$4:$B$12,$D166)</f>
        <v/>
      </c>
      <c r="L166" s="43">
        <f>SUM(I166:K166)</f>
        <v/>
      </c>
    </row>
    <row r="167">
      <c r="A167" s="39" t="inlineStr"/>
      <c r="B167" s="39" t="inlineStr"/>
      <c r="C167" s="40" t="inlineStr">
        <is>
          <t>Mamaearth</t>
        </is>
      </c>
      <c r="D167" s="40" t="inlineStr">
        <is>
          <t>Hair</t>
        </is>
      </c>
      <c r="E167" s="39" t="inlineStr">
        <is>
          <t>Wellness Forever</t>
        </is>
      </c>
      <c r="F167" s="41" t="inlineStr">
        <is>
          <t>West</t>
        </is>
      </c>
      <c r="G167" s="42" t="n">
        <v>0.3056</v>
      </c>
      <c r="H167" s="16">
        <f>IFERROR(G167/SUMIFS($G$4:$G$1504,$C$4:$C$1504,$C167,$D$4:$D$1504,$D167),0)</f>
        <v/>
      </c>
      <c r="I167" s="14">
        <f>$H167*SUMIFS('Forecast Engine'!$AK$4:$AK$12,'Forecast Engine'!$A$4:$A$12,$C167,'Forecast Engine'!$B$4:$B$12,$D167)</f>
        <v/>
      </c>
      <c r="J167" s="14">
        <f>$H167*SUMIFS('Forecast Engine'!$AL$4:$AL$12,'Forecast Engine'!$A$4:$A$12,$C167,'Forecast Engine'!$B$4:$B$12,$D167)</f>
        <v/>
      </c>
      <c r="K167" s="14">
        <f>$H167*SUMIFS('Forecast Engine'!$AM$4:$AM$12,'Forecast Engine'!$A$4:$A$12,$C167,'Forecast Engine'!$B$4:$B$12,$D167)</f>
        <v/>
      </c>
      <c r="L167" s="43">
        <f>SUM(I167:K167)</f>
        <v/>
      </c>
    </row>
    <row r="168">
      <c r="A168" s="39" t="inlineStr">
        <is>
          <t>10101208</t>
        </is>
      </c>
      <c r="B168" s="39" t="inlineStr">
        <is>
          <t>Rosemary Anti-Hairfall Shampoo 600 ml</t>
        </is>
      </c>
      <c r="C168" s="40" t="inlineStr">
        <is>
          <t>Mamaearth</t>
        </is>
      </c>
      <c r="D168" s="40" t="inlineStr">
        <is>
          <t>Hair</t>
        </is>
      </c>
      <c r="E168" s="39" t="inlineStr">
        <is>
          <t>JUST MARK-Dmart</t>
        </is>
      </c>
      <c r="F168" s="41" t="inlineStr">
        <is>
          <t>West</t>
        </is>
      </c>
      <c r="G168" s="42" t="n">
        <v>0.2967</v>
      </c>
      <c r="H168" s="16">
        <f>IFERROR(G168/SUMIFS($G$4:$G$1504,$C$4:$C$1504,$C168,$D$4:$D$1504,$D168),0)</f>
        <v/>
      </c>
      <c r="I168" s="14">
        <f>$H168*SUMIFS('Forecast Engine'!$AK$4:$AK$12,'Forecast Engine'!$A$4:$A$12,$C168,'Forecast Engine'!$B$4:$B$12,$D168)</f>
        <v/>
      </c>
      <c r="J168" s="14">
        <f>$H168*SUMIFS('Forecast Engine'!$AL$4:$AL$12,'Forecast Engine'!$A$4:$A$12,$C168,'Forecast Engine'!$B$4:$B$12,$D168)</f>
        <v/>
      </c>
      <c r="K168" s="14">
        <f>$H168*SUMIFS('Forecast Engine'!$AM$4:$AM$12,'Forecast Engine'!$A$4:$A$12,$C168,'Forecast Engine'!$B$4:$B$12,$D168)</f>
        <v/>
      </c>
      <c r="L168" s="43">
        <f>SUM(I168:K168)</f>
        <v/>
      </c>
    </row>
    <row r="169">
      <c r="A169" s="39" t="inlineStr">
        <is>
          <t>10101112</t>
        </is>
      </c>
      <c r="B169" s="39" t="inlineStr">
        <is>
          <t>Lemon Anti-Dandruff Shampoo 400 ml</t>
        </is>
      </c>
      <c r="C169" s="40" t="inlineStr">
        <is>
          <t>Mamaearth</t>
        </is>
      </c>
      <c r="D169" s="40" t="inlineStr">
        <is>
          <t>Hair</t>
        </is>
      </c>
      <c r="E169" s="39" t="inlineStr">
        <is>
          <t>Reliance Retail Limited</t>
        </is>
      </c>
      <c r="F169" s="41" t="inlineStr">
        <is>
          <t>South-1</t>
        </is>
      </c>
      <c r="G169" s="42" t="n">
        <v>0.2803</v>
      </c>
      <c r="H169" s="16">
        <f>IFERROR(G169/SUMIFS($G$4:$G$1504,$C$4:$C$1504,$C169,$D$4:$D$1504,$D169),0)</f>
        <v/>
      </c>
      <c r="I169" s="14">
        <f>$H169*SUMIFS('Forecast Engine'!$AK$4:$AK$12,'Forecast Engine'!$A$4:$A$12,$C169,'Forecast Engine'!$B$4:$B$12,$D169)</f>
        <v/>
      </c>
      <c r="J169" s="14">
        <f>$H169*SUMIFS('Forecast Engine'!$AL$4:$AL$12,'Forecast Engine'!$A$4:$A$12,$C169,'Forecast Engine'!$B$4:$B$12,$D169)</f>
        <v/>
      </c>
      <c r="K169" s="14">
        <f>$H169*SUMIFS('Forecast Engine'!$AM$4:$AM$12,'Forecast Engine'!$A$4:$A$12,$C169,'Forecast Engine'!$B$4:$B$12,$D169)</f>
        <v/>
      </c>
      <c r="L169" s="43">
        <f>SUM(I169:K169)</f>
        <v/>
      </c>
    </row>
    <row r="170">
      <c r="A170" s="39" t="inlineStr">
        <is>
          <t>10101045</t>
        </is>
      </c>
      <c r="B170" s="39" t="inlineStr">
        <is>
          <t>Onion Shampoo 650ml</t>
        </is>
      </c>
      <c r="C170" s="40" t="inlineStr">
        <is>
          <t>Mamaearth</t>
        </is>
      </c>
      <c r="D170" s="40" t="inlineStr">
        <is>
          <t>Hair</t>
        </is>
      </c>
      <c r="E170" s="39" t="inlineStr">
        <is>
          <t>Reliance Retail Limited</t>
        </is>
      </c>
      <c r="F170" s="41" t="inlineStr">
        <is>
          <t>North</t>
        </is>
      </c>
      <c r="G170" s="42" t="n">
        <v>0.2768</v>
      </c>
      <c r="H170" s="16">
        <f>IFERROR(G170/SUMIFS($G$4:$G$1504,$C$4:$C$1504,$C170,$D$4:$D$1504,$D170),0)</f>
        <v/>
      </c>
      <c r="I170" s="14">
        <f>$H170*SUMIFS('Forecast Engine'!$AK$4:$AK$12,'Forecast Engine'!$A$4:$A$12,$C170,'Forecast Engine'!$B$4:$B$12,$D170)</f>
        <v/>
      </c>
      <c r="J170" s="14">
        <f>$H170*SUMIFS('Forecast Engine'!$AL$4:$AL$12,'Forecast Engine'!$A$4:$A$12,$C170,'Forecast Engine'!$B$4:$B$12,$D170)</f>
        <v/>
      </c>
      <c r="K170" s="14">
        <f>$H170*SUMIFS('Forecast Engine'!$AM$4:$AM$12,'Forecast Engine'!$A$4:$A$12,$C170,'Forecast Engine'!$B$4:$B$12,$D170)</f>
        <v/>
      </c>
      <c r="L170" s="43">
        <f>SUM(I170:K170)</f>
        <v/>
      </c>
    </row>
    <row r="171">
      <c r="A171" s="39" t="inlineStr">
        <is>
          <t>10101112</t>
        </is>
      </c>
      <c r="B171" s="39" t="inlineStr">
        <is>
          <t>Lemon Anti-Dandruff Shampoo 400 ml</t>
        </is>
      </c>
      <c r="C171" s="40" t="inlineStr">
        <is>
          <t>Mamaearth</t>
        </is>
      </c>
      <c r="D171" s="40" t="inlineStr">
        <is>
          <t>Hair</t>
        </is>
      </c>
      <c r="E171" s="39" t="inlineStr">
        <is>
          <t>Reliance Retail Limited</t>
        </is>
      </c>
      <c r="F171" s="41" t="inlineStr">
        <is>
          <t>East</t>
        </is>
      </c>
      <c r="G171" s="42" t="n">
        <v>0.2703</v>
      </c>
      <c r="H171" s="16">
        <f>IFERROR(G171/SUMIFS($G$4:$G$1504,$C$4:$C$1504,$C171,$D$4:$D$1504,$D171),0)</f>
        <v/>
      </c>
      <c r="I171" s="14">
        <f>$H171*SUMIFS('Forecast Engine'!$AK$4:$AK$12,'Forecast Engine'!$A$4:$A$12,$C171,'Forecast Engine'!$B$4:$B$12,$D171)</f>
        <v/>
      </c>
      <c r="J171" s="14">
        <f>$H171*SUMIFS('Forecast Engine'!$AL$4:$AL$12,'Forecast Engine'!$A$4:$A$12,$C171,'Forecast Engine'!$B$4:$B$12,$D171)</f>
        <v/>
      </c>
      <c r="K171" s="14">
        <f>$H171*SUMIFS('Forecast Engine'!$AM$4:$AM$12,'Forecast Engine'!$A$4:$A$12,$C171,'Forecast Engine'!$B$4:$B$12,$D171)</f>
        <v/>
      </c>
      <c r="L171" s="43">
        <f>SUM(I171:K171)</f>
        <v/>
      </c>
    </row>
    <row r="172">
      <c r="A172" s="39" t="inlineStr">
        <is>
          <t>10100099</t>
        </is>
      </c>
      <c r="B172" s="39" t="inlineStr">
        <is>
          <t>Onion Shampoo for Hair Growth and Hair Fall Cont</t>
        </is>
      </c>
      <c r="C172" s="40" t="inlineStr">
        <is>
          <t>Mamaearth</t>
        </is>
      </c>
      <c r="D172" s="40" t="inlineStr">
        <is>
          <t>Hair</t>
        </is>
      </c>
      <c r="E172" s="39" t="inlineStr">
        <is>
          <t>Apollo Healthco</t>
        </is>
      </c>
      <c r="F172" s="41" t="inlineStr">
        <is>
          <t>East</t>
        </is>
      </c>
      <c r="G172" s="42" t="n">
        <v>0.2689</v>
      </c>
      <c r="H172" s="16">
        <f>IFERROR(G172/SUMIFS($G$4:$G$1504,$C$4:$C$1504,$C172,$D$4:$D$1504,$D172),0)</f>
        <v/>
      </c>
      <c r="I172" s="14">
        <f>$H172*SUMIFS('Forecast Engine'!$AK$4:$AK$12,'Forecast Engine'!$A$4:$A$12,$C172,'Forecast Engine'!$B$4:$B$12,$D172)</f>
        <v/>
      </c>
      <c r="J172" s="14">
        <f>$H172*SUMIFS('Forecast Engine'!$AL$4:$AL$12,'Forecast Engine'!$A$4:$A$12,$C172,'Forecast Engine'!$B$4:$B$12,$D172)</f>
        <v/>
      </c>
      <c r="K172" s="14">
        <f>$H172*SUMIFS('Forecast Engine'!$AM$4:$AM$12,'Forecast Engine'!$A$4:$A$12,$C172,'Forecast Engine'!$B$4:$B$12,$D172)</f>
        <v/>
      </c>
      <c r="L172" s="43">
        <f>SUM(I172:K172)</f>
        <v/>
      </c>
    </row>
    <row r="173">
      <c r="A173" s="39" t="inlineStr">
        <is>
          <t>10101057</t>
        </is>
      </c>
      <c r="B173" s="39" t="inlineStr">
        <is>
          <t>ME Onion hair oil 200 ml</t>
        </is>
      </c>
      <c r="C173" s="40" t="inlineStr">
        <is>
          <t>Mamaearth</t>
        </is>
      </c>
      <c r="D173" s="40" t="inlineStr">
        <is>
          <t>Hair</t>
        </is>
      </c>
      <c r="E173" s="39" t="inlineStr">
        <is>
          <t>D-Mart</t>
        </is>
      </c>
      <c r="F173" s="41" t="inlineStr">
        <is>
          <t>North</t>
        </is>
      </c>
      <c r="G173" s="42" t="n">
        <v>0.2675</v>
      </c>
      <c r="H173" s="16">
        <f>IFERROR(G173/SUMIFS($G$4:$G$1504,$C$4:$C$1504,$C173,$D$4:$D$1504,$D173),0)</f>
        <v/>
      </c>
      <c r="I173" s="14">
        <f>$H173*SUMIFS('Forecast Engine'!$AK$4:$AK$12,'Forecast Engine'!$A$4:$A$12,$C173,'Forecast Engine'!$B$4:$B$12,$D173)</f>
        <v/>
      </c>
      <c r="J173" s="14">
        <f>$H173*SUMIFS('Forecast Engine'!$AL$4:$AL$12,'Forecast Engine'!$A$4:$A$12,$C173,'Forecast Engine'!$B$4:$B$12,$D173)</f>
        <v/>
      </c>
      <c r="K173" s="14">
        <f>$H173*SUMIFS('Forecast Engine'!$AM$4:$AM$12,'Forecast Engine'!$A$4:$A$12,$C173,'Forecast Engine'!$B$4:$B$12,$D173)</f>
        <v/>
      </c>
      <c r="L173" s="43">
        <f>SUM(I173:K173)</f>
        <v/>
      </c>
    </row>
    <row r="174">
      <c r="A174" s="39" t="inlineStr"/>
      <c r="B174" s="39" t="inlineStr"/>
      <c r="C174" s="40" t="inlineStr">
        <is>
          <t>Mamaearth</t>
        </is>
      </c>
      <c r="D174" s="40" t="inlineStr">
        <is>
          <t>Hair</t>
        </is>
      </c>
      <c r="E174" s="39" t="inlineStr">
        <is>
          <t>JUST MARK-D-Mart</t>
        </is>
      </c>
      <c r="F174" s="41" t="inlineStr">
        <is>
          <t>West</t>
        </is>
      </c>
      <c r="G174" s="42" t="n">
        <v>0.2665</v>
      </c>
      <c r="H174" s="16">
        <f>IFERROR(G174/SUMIFS($G$4:$G$1504,$C$4:$C$1504,$C174,$D$4:$D$1504,$D174),0)</f>
        <v/>
      </c>
      <c r="I174" s="14">
        <f>$H174*SUMIFS('Forecast Engine'!$AK$4:$AK$12,'Forecast Engine'!$A$4:$A$12,$C174,'Forecast Engine'!$B$4:$B$12,$D174)</f>
        <v/>
      </c>
      <c r="J174" s="14">
        <f>$H174*SUMIFS('Forecast Engine'!$AL$4:$AL$12,'Forecast Engine'!$A$4:$A$12,$C174,'Forecast Engine'!$B$4:$B$12,$D174)</f>
        <v/>
      </c>
      <c r="K174" s="14">
        <f>$H174*SUMIFS('Forecast Engine'!$AM$4:$AM$12,'Forecast Engine'!$A$4:$A$12,$C174,'Forecast Engine'!$B$4:$B$12,$D174)</f>
        <v/>
      </c>
      <c r="L174" s="43">
        <f>SUM(I174:K174)</f>
        <v/>
      </c>
    </row>
    <row r="175">
      <c r="A175" s="39" t="inlineStr">
        <is>
          <t>10100099</t>
        </is>
      </c>
      <c r="B175" s="39" t="inlineStr">
        <is>
          <t>Onion Shampoo for Hair Growth and Hair Fall Cont</t>
        </is>
      </c>
      <c r="C175" s="40" t="inlineStr">
        <is>
          <t>Mamaearth</t>
        </is>
      </c>
      <c r="D175" s="40" t="inlineStr">
        <is>
          <t>Hair</t>
        </is>
      </c>
      <c r="E175" s="39" t="inlineStr">
        <is>
          <t>Apollo Healthco</t>
        </is>
      </c>
      <c r="F175" s="41" t="inlineStr">
        <is>
          <t>North</t>
        </is>
      </c>
      <c r="G175" s="42" t="n">
        <v>0.2664</v>
      </c>
      <c r="H175" s="16">
        <f>IFERROR(G175/SUMIFS($G$4:$G$1504,$C$4:$C$1504,$C175,$D$4:$D$1504,$D175),0)</f>
        <v/>
      </c>
      <c r="I175" s="14">
        <f>$H175*SUMIFS('Forecast Engine'!$AK$4:$AK$12,'Forecast Engine'!$A$4:$A$12,$C175,'Forecast Engine'!$B$4:$B$12,$D175)</f>
        <v/>
      </c>
      <c r="J175" s="14">
        <f>$H175*SUMIFS('Forecast Engine'!$AL$4:$AL$12,'Forecast Engine'!$A$4:$A$12,$C175,'Forecast Engine'!$B$4:$B$12,$D175)</f>
        <v/>
      </c>
      <c r="K175" s="14">
        <f>$H175*SUMIFS('Forecast Engine'!$AM$4:$AM$12,'Forecast Engine'!$A$4:$A$12,$C175,'Forecast Engine'!$B$4:$B$12,$D175)</f>
        <v/>
      </c>
      <c r="L175" s="43">
        <f>SUM(I175:K175)</f>
        <v/>
      </c>
    </row>
    <row r="176">
      <c r="A176" s="39" t="inlineStr"/>
      <c r="B176" s="39" t="inlineStr"/>
      <c r="C176" s="40" t="inlineStr">
        <is>
          <t>Mamaearth</t>
        </is>
      </c>
      <c r="D176" s="40" t="inlineStr">
        <is>
          <t>Hair</t>
        </is>
      </c>
      <c r="E176" s="39" t="inlineStr">
        <is>
          <t>M/S KOTTARAM BUSINESS</t>
        </is>
      </c>
      <c r="F176" s="41" t="inlineStr">
        <is>
          <t>South-1</t>
        </is>
      </c>
      <c r="G176" s="42" t="n">
        <v>0.2568</v>
      </c>
      <c r="H176" s="16">
        <f>IFERROR(G176/SUMIFS($G$4:$G$1504,$C$4:$C$1504,$C176,$D$4:$D$1504,$D176),0)</f>
        <v/>
      </c>
      <c r="I176" s="14">
        <f>$H176*SUMIFS('Forecast Engine'!$AK$4:$AK$12,'Forecast Engine'!$A$4:$A$12,$C176,'Forecast Engine'!$B$4:$B$12,$D176)</f>
        <v/>
      </c>
      <c r="J176" s="14">
        <f>$H176*SUMIFS('Forecast Engine'!$AL$4:$AL$12,'Forecast Engine'!$A$4:$A$12,$C176,'Forecast Engine'!$B$4:$B$12,$D176)</f>
        <v/>
      </c>
      <c r="K176" s="14">
        <f>$H176*SUMIFS('Forecast Engine'!$AM$4:$AM$12,'Forecast Engine'!$A$4:$A$12,$C176,'Forecast Engine'!$B$4:$B$12,$D176)</f>
        <v/>
      </c>
      <c r="L176" s="43">
        <f>SUM(I176:K176)</f>
        <v/>
      </c>
    </row>
    <row r="177">
      <c r="A177" s="39" t="inlineStr">
        <is>
          <t>10101208</t>
        </is>
      </c>
      <c r="B177" s="39" t="inlineStr">
        <is>
          <t>Rosemary Anti-Hairfall Shampoo 600 ml</t>
        </is>
      </c>
      <c r="C177" s="40" t="inlineStr">
        <is>
          <t>Mamaearth</t>
        </is>
      </c>
      <c r="D177" s="40" t="inlineStr">
        <is>
          <t>Hair</t>
        </is>
      </c>
      <c r="E177" s="39" t="inlineStr">
        <is>
          <t>D-Mart</t>
        </is>
      </c>
      <c r="F177" s="41" t="inlineStr">
        <is>
          <t>South-2</t>
        </is>
      </c>
      <c r="G177" s="42" t="n">
        <v>0.2558</v>
      </c>
      <c r="H177" s="16">
        <f>IFERROR(G177/SUMIFS($G$4:$G$1504,$C$4:$C$1504,$C177,$D$4:$D$1504,$D177),0)</f>
        <v/>
      </c>
      <c r="I177" s="14">
        <f>$H177*SUMIFS('Forecast Engine'!$AK$4:$AK$12,'Forecast Engine'!$A$4:$A$12,$C177,'Forecast Engine'!$B$4:$B$12,$D177)</f>
        <v/>
      </c>
      <c r="J177" s="14">
        <f>$H177*SUMIFS('Forecast Engine'!$AL$4:$AL$12,'Forecast Engine'!$A$4:$A$12,$C177,'Forecast Engine'!$B$4:$B$12,$D177)</f>
        <v/>
      </c>
      <c r="K177" s="14">
        <f>$H177*SUMIFS('Forecast Engine'!$AM$4:$AM$12,'Forecast Engine'!$A$4:$A$12,$C177,'Forecast Engine'!$B$4:$B$12,$D177)</f>
        <v/>
      </c>
      <c r="L177" s="43">
        <f>SUM(I177:K177)</f>
        <v/>
      </c>
    </row>
    <row r="178">
      <c r="A178" s="39" t="inlineStr">
        <is>
          <t>10101460</t>
        </is>
      </c>
      <c r="B178" s="39" t="inlineStr">
        <is>
          <t>ME Rice Water Strengthening Shampoo 400 ml</t>
        </is>
      </c>
      <c r="C178" s="40" t="inlineStr">
        <is>
          <t>Mamaearth</t>
        </is>
      </c>
      <c r="D178" s="40" t="inlineStr">
        <is>
          <t>Hair</t>
        </is>
      </c>
      <c r="E178" s="39" t="inlineStr">
        <is>
          <t>Reliance Retail Limited</t>
        </is>
      </c>
      <c r="F178" s="41" t="inlineStr">
        <is>
          <t>North</t>
        </is>
      </c>
      <c r="G178" s="42" t="n">
        <v>0.2552</v>
      </c>
      <c r="H178" s="16">
        <f>IFERROR(G178/SUMIFS($G$4:$G$1504,$C$4:$C$1504,$C178,$D$4:$D$1504,$D178),0)</f>
        <v/>
      </c>
      <c r="I178" s="14">
        <f>$H178*SUMIFS('Forecast Engine'!$AK$4:$AK$12,'Forecast Engine'!$A$4:$A$12,$C178,'Forecast Engine'!$B$4:$B$12,$D178)</f>
        <v/>
      </c>
      <c r="J178" s="14">
        <f>$H178*SUMIFS('Forecast Engine'!$AL$4:$AL$12,'Forecast Engine'!$A$4:$A$12,$C178,'Forecast Engine'!$B$4:$B$12,$D178)</f>
        <v/>
      </c>
      <c r="K178" s="14">
        <f>$H178*SUMIFS('Forecast Engine'!$AM$4:$AM$12,'Forecast Engine'!$A$4:$A$12,$C178,'Forecast Engine'!$B$4:$B$12,$D178)</f>
        <v/>
      </c>
      <c r="L178" s="43">
        <f>SUM(I178:K178)</f>
        <v/>
      </c>
    </row>
    <row r="179">
      <c r="A179" s="39" t="inlineStr">
        <is>
          <t>10101055</t>
        </is>
      </c>
      <c r="B179" s="39" t="inlineStr">
        <is>
          <t>ME Rosemary Anti-Hairfall Shampoo 400 ml</t>
        </is>
      </c>
      <c r="C179" s="40" t="inlineStr">
        <is>
          <t>Mamaearth</t>
        </is>
      </c>
      <c r="D179" s="40" t="inlineStr">
        <is>
          <t>Hair</t>
        </is>
      </c>
      <c r="E179" s="39" t="inlineStr">
        <is>
          <t>Apollo Healthco</t>
        </is>
      </c>
      <c r="F179" s="41" t="inlineStr">
        <is>
          <t>North</t>
        </is>
      </c>
      <c r="G179" s="42" t="n">
        <v>0.2501</v>
      </c>
      <c r="H179" s="16">
        <f>IFERROR(G179/SUMIFS($G$4:$G$1504,$C$4:$C$1504,$C179,$D$4:$D$1504,$D179),0)</f>
        <v/>
      </c>
      <c r="I179" s="14">
        <f>$H179*SUMIFS('Forecast Engine'!$AK$4:$AK$12,'Forecast Engine'!$A$4:$A$12,$C179,'Forecast Engine'!$B$4:$B$12,$D179)</f>
        <v/>
      </c>
      <c r="J179" s="14">
        <f>$H179*SUMIFS('Forecast Engine'!$AL$4:$AL$12,'Forecast Engine'!$A$4:$A$12,$C179,'Forecast Engine'!$B$4:$B$12,$D179)</f>
        <v/>
      </c>
      <c r="K179" s="14">
        <f>$H179*SUMIFS('Forecast Engine'!$AM$4:$AM$12,'Forecast Engine'!$A$4:$A$12,$C179,'Forecast Engine'!$B$4:$B$12,$D179)</f>
        <v/>
      </c>
      <c r="L179" s="43">
        <f>SUM(I179:K179)</f>
        <v/>
      </c>
    </row>
    <row r="180">
      <c r="A180" s="39" t="inlineStr">
        <is>
          <t>(various)</t>
        </is>
      </c>
      <c r="B180" s="39" t="inlineStr">
        <is>
          <t>Long-tail articles &amp; chains (residual)</t>
        </is>
      </c>
      <c r="C180" s="40" t="inlineStr">
        <is>
          <t>Mamaearth</t>
        </is>
      </c>
      <c r="D180" s="40" t="inlineStr">
        <is>
          <t>Hair</t>
        </is>
      </c>
      <c r="E180" s="39" t="inlineStr">
        <is>
          <t>(all other chains)</t>
        </is>
      </c>
      <c r="F180" s="41" t="inlineStr">
        <is>
          <t>(mixed)</t>
        </is>
      </c>
      <c r="G180" s="42" t="n">
        <v>19.2708</v>
      </c>
      <c r="H180" s="16">
        <f>IFERROR(G180/SUMIFS($G$4:$G$1504,$C$4:$C$1504,$C180,$D$4:$D$1504,$D180),0)</f>
        <v/>
      </c>
      <c r="I180" s="14">
        <f>$H180*SUMIFS('Forecast Engine'!$AK$4:$AK$12,'Forecast Engine'!$A$4:$A$12,$C180,'Forecast Engine'!$B$4:$B$12,$D180)</f>
        <v/>
      </c>
      <c r="J180" s="14">
        <f>$H180*SUMIFS('Forecast Engine'!$AL$4:$AL$12,'Forecast Engine'!$A$4:$A$12,$C180,'Forecast Engine'!$B$4:$B$12,$D180)</f>
        <v/>
      </c>
      <c r="K180" s="14">
        <f>$H180*SUMIFS('Forecast Engine'!$AM$4:$AM$12,'Forecast Engine'!$A$4:$A$12,$C180,'Forecast Engine'!$B$4:$B$12,$D180)</f>
        <v/>
      </c>
      <c r="L180" s="43">
        <f>SUM(I180:K180)</f>
        <v/>
      </c>
    </row>
    <row r="181">
      <c r="A181" s="39" t="inlineStr">
        <is>
          <t>10200048</t>
        </is>
      </c>
      <c r="B181" s="39" t="inlineStr">
        <is>
          <t>The Derma 1% Salicylic Acid Gel Face Wash</t>
        </is>
      </c>
      <c r="C181" s="40" t="inlineStr">
        <is>
          <t>The Derma Co.</t>
        </is>
      </c>
      <c r="D181" s="40" t="inlineStr">
        <is>
          <t>Face</t>
        </is>
      </c>
      <c r="E181" s="39" t="inlineStr">
        <is>
          <t>D-Mart</t>
        </is>
      </c>
      <c r="F181" s="41" t="inlineStr">
        <is>
          <t>North</t>
        </is>
      </c>
      <c r="G181" s="42" t="n">
        <v>2.5867</v>
      </c>
      <c r="H181" s="16">
        <f>IFERROR(G181/SUMIFS($G$4:$G$1504,$C$4:$C$1504,$C181,$D$4:$D$1504,$D181),0)</f>
        <v/>
      </c>
      <c r="I181" s="14">
        <f>$H181*SUMIFS('Forecast Engine'!$AK$4:$AK$12,'Forecast Engine'!$A$4:$A$12,$C181,'Forecast Engine'!$B$4:$B$12,$D181)</f>
        <v/>
      </c>
      <c r="J181" s="14">
        <f>$H181*SUMIFS('Forecast Engine'!$AL$4:$AL$12,'Forecast Engine'!$A$4:$A$12,$C181,'Forecast Engine'!$B$4:$B$12,$D181)</f>
        <v/>
      </c>
      <c r="K181" s="14">
        <f>$H181*SUMIFS('Forecast Engine'!$AM$4:$AM$12,'Forecast Engine'!$A$4:$A$12,$C181,'Forecast Engine'!$B$4:$B$12,$D181)</f>
        <v/>
      </c>
      <c r="L181" s="43">
        <f>SUM(I181:K181)</f>
        <v/>
      </c>
    </row>
    <row r="182">
      <c r="A182" s="39" t="inlineStr">
        <is>
          <t>10200048</t>
        </is>
      </c>
      <c r="B182" s="39" t="inlineStr">
        <is>
          <t>The Derma 1% Salicylic Acid Gel Face Wash</t>
        </is>
      </c>
      <c r="C182" s="40" t="inlineStr">
        <is>
          <t>The Derma Co.</t>
        </is>
      </c>
      <c r="D182" s="40" t="inlineStr">
        <is>
          <t>Face</t>
        </is>
      </c>
      <c r="E182" s="39" t="inlineStr">
        <is>
          <t>D-Mart</t>
        </is>
      </c>
      <c r="F182" s="41" t="inlineStr">
        <is>
          <t>West</t>
        </is>
      </c>
      <c r="G182" s="42" t="n">
        <v>1.934</v>
      </c>
      <c r="H182" s="16">
        <f>IFERROR(G182/SUMIFS($G$4:$G$1504,$C$4:$C$1504,$C182,$D$4:$D$1504,$D182),0)</f>
        <v/>
      </c>
      <c r="I182" s="14">
        <f>$H182*SUMIFS('Forecast Engine'!$AK$4:$AK$12,'Forecast Engine'!$A$4:$A$12,$C182,'Forecast Engine'!$B$4:$B$12,$D182)</f>
        <v/>
      </c>
      <c r="J182" s="14">
        <f>$H182*SUMIFS('Forecast Engine'!$AL$4:$AL$12,'Forecast Engine'!$A$4:$A$12,$C182,'Forecast Engine'!$B$4:$B$12,$D182)</f>
        <v/>
      </c>
      <c r="K182" s="14">
        <f>$H182*SUMIFS('Forecast Engine'!$AM$4:$AM$12,'Forecast Engine'!$A$4:$A$12,$C182,'Forecast Engine'!$B$4:$B$12,$D182)</f>
        <v/>
      </c>
      <c r="L182" s="43">
        <f>SUM(I182:K182)</f>
        <v/>
      </c>
    </row>
    <row r="183">
      <c r="A183" s="39" t="inlineStr"/>
      <c r="B183" s="39" t="inlineStr"/>
      <c r="C183" s="40" t="inlineStr">
        <is>
          <t>The Derma Co.</t>
        </is>
      </c>
      <c r="D183" s="40" t="inlineStr">
        <is>
          <t>Face</t>
        </is>
      </c>
      <c r="E183" s="39" t="inlineStr">
        <is>
          <t>Wellness Forever</t>
        </is>
      </c>
      <c r="F183" s="41" t="inlineStr">
        <is>
          <t>West</t>
        </is>
      </c>
      <c r="G183" s="42" t="n">
        <v>1.9322</v>
      </c>
      <c r="H183" s="16">
        <f>IFERROR(G183/SUMIFS($G$4:$G$1504,$C$4:$C$1504,$C183,$D$4:$D$1504,$D183),0)</f>
        <v/>
      </c>
      <c r="I183" s="14">
        <f>$H183*SUMIFS('Forecast Engine'!$AK$4:$AK$12,'Forecast Engine'!$A$4:$A$12,$C183,'Forecast Engine'!$B$4:$B$12,$D183)</f>
        <v/>
      </c>
      <c r="J183" s="14">
        <f>$H183*SUMIFS('Forecast Engine'!$AL$4:$AL$12,'Forecast Engine'!$A$4:$A$12,$C183,'Forecast Engine'!$B$4:$B$12,$D183)</f>
        <v/>
      </c>
      <c r="K183" s="14">
        <f>$H183*SUMIFS('Forecast Engine'!$AM$4:$AM$12,'Forecast Engine'!$A$4:$A$12,$C183,'Forecast Engine'!$B$4:$B$12,$D183)</f>
        <v/>
      </c>
      <c r="L183" s="43">
        <f>SUM(I183:K183)</f>
        <v/>
      </c>
    </row>
    <row r="184">
      <c r="A184" s="39" t="inlineStr">
        <is>
          <t>10200048</t>
        </is>
      </c>
      <c r="B184" s="39" t="inlineStr">
        <is>
          <t>The Derma 1% Salicylic Acid Gel Face Wash</t>
        </is>
      </c>
      <c r="C184" s="40" t="inlineStr">
        <is>
          <t>The Derma Co.</t>
        </is>
      </c>
      <c r="D184" s="40" t="inlineStr">
        <is>
          <t>Face</t>
        </is>
      </c>
      <c r="E184" s="39" t="inlineStr">
        <is>
          <t>Kiran Trading Company</t>
        </is>
      </c>
      <c r="F184" s="41" t="inlineStr">
        <is>
          <t>West</t>
        </is>
      </c>
      <c r="G184" s="42" t="n">
        <v>1.8184</v>
      </c>
      <c r="H184" s="16">
        <f>IFERROR(G184/SUMIFS($G$4:$G$1504,$C$4:$C$1504,$C184,$D$4:$D$1504,$D184),0)</f>
        <v/>
      </c>
      <c r="I184" s="14">
        <f>$H184*SUMIFS('Forecast Engine'!$AK$4:$AK$12,'Forecast Engine'!$A$4:$A$12,$C184,'Forecast Engine'!$B$4:$B$12,$D184)</f>
        <v/>
      </c>
      <c r="J184" s="14">
        <f>$H184*SUMIFS('Forecast Engine'!$AL$4:$AL$12,'Forecast Engine'!$A$4:$A$12,$C184,'Forecast Engine'!$B$4:$B$12,$D184)</f>
        <v/>
      </c>
      <c r="K184" s="14">
        <f>$H184*SUMIFS('Forecast Engine'!$AM$4:$AM$12,'Forecast Engine'!$A$4:$A$12,$C184,'Forecast Engine'!$B$4:$B$12,$D184)</f>
        <v/>
      </c>
      <c r="L184" s="43">
        <f>SUM(I184:K184)</f>
        <v/>
      </c>
    </row>
    <row r="185">
      <c r="A185" s="39" t="inlineStr"/>
      <c r="B185" s="39" t="inlineStr"/>
      <c r="C185" s="40" t="inlineStr">
        <is>
          <t>The Derma Co.</t>
        </is>
      </c>
      <c r="D185" s="40" t="inlineStr">
        <is>
          <t>Face</t>
        </is>
      </c>
      <c r="E185" s="39" t="inlineStr">
        <is>
          <t>Az Enterprises</t>
        </is>
      </c>
      <c r="F185" s="41" t="inlineStr">
        <is>
          <t>South-1</t>
        </is>
      </c>
      <c r="G185" s="42" t="n">
        <v>1.6705</v>
      </c>
      <c r="H185" s="16">
        <f>IFERROR(G185/SUMIFS($G$4:$G$1504,$C$4:$C$1504,$C185,$D$4:$D$1504,$D185),0)</f>
        <v/>
      </c>
      <c r="I185" s="14">
        <f>$H185*SUMIFS('Forecast Engine'!$AK$4:$AK$12,'Forecast Engine'!$A$4:$A$12,$C185,'Forecast Engine'!$B$4:$B$12,$D185)</f>
        <v/>
      </c>
      <c r="J185" s="14">
        <f>$H185*SUMIFS('Forecast Engine'!$AL$4:$AL$12,'Forecast Engine'!$A$4:$A$12,$C185,'Forecast Engine'!$B$4:$B$12,$D185)</f>
        <v/>
      </c>
      <c r="K185" s="14">
        <f>$H185*SUMIFS('Forecast Engine'!$AM$4:$AM$12,'Forecast Engine'!$A$4:$A$12,$C185,'Forecast Engine'!$B$4:$B$12,$D185)</f>
        <v/>
      </c>
      <c r="L185" s="43">
        <f>SUM(I185:K185)</f>
        <v/>
      </c>
    </row>
    <row r="186">
      <c r="A186" s="39" t="inlineStr">
        <is>
          <t>10200051</t>
        </is>
      </c>
      <c r="B186" s="39" t="inlineStr">
        <is>
          <t>1% Hyaluronic Sunscreen Aqua Gel</t>
        </is>
      </c>
      <c r="C186" s="40" t="inlineStr">
        <is>
          <t>The Derma Co.</t>
        </is>
      </c>
      <c r="D186" s="40" t="inlineStr">
        <is>
          <t>Face</t>
        </is>
      </c>
      <c r="E186" s="39" t="inlineStr">
        <is>
          <t>D-Mart</t>
        </is>
      </c>
      <c r="F186" s="41" t="inlineStr">
        <is>
          <t>North</t>
        </is>
      </c>
      <c r="G186" s="42" t="n">
        <v>1.6405</v>
      </c>
      <c r="H186" s="16">
        <f>IFERROR(G186/SUMIFS($G$4:$G$1504,$C$4:$C$1504,$C186,$D$4:$D$1504,$D186),0)</f>
        <v/>
      </c>
      <c r="I186" s="14">
        <f>$H186*SUMIFS('Forecast Engine'!$AK$4:$AK$12,'Forecast Engine'!$A$4:$A$12,$C186,'Forecast Engine'!$B$4:$B$12,$D186)</f>
        <v/>
      </c>
      <c r="J186" s="14">
        <f>$H186*SUMIFS('Forecast Engine'!$AL$4:$AL$12,'Forecast Engine'!$A$4:$A$12,$C186,'Forecast Engine'!$B$4:$B$12,$D186)</f>
        <v/>
      </c>
      <c r="K186" s="14">
        <f>$H186*SUMIFS('Forecast Engine'!$AM$4:$AM$12,'Forecast Engine'!$A$4:$A$12,$C186,'Forecast Engine'!$B$4:$B$12,$D186)</f>
        <v/>
      </c>
      <c r="L186" s="43">
        <f>SUM(I186:K186)</f>
        <v/>
      </c>
    </row>
    <row r="187">
      <c r="A187" s="39" t="inlineStr">
        <is>
          <t>10200048</t>
        </is>
      </c>
      <c r="B187" s="39" t="inlineStr">
        <is>
          <t>The Derma 1% Salicylic Acid Gel Face Wash</t>
        </is>
      </c>
      <c r="C187" s="40" t="inlineStr">
        <is>
          <t>The Derma Co.</t>
        </is>
      </c>
      <c r="D187" s="40" t="inlineStr">
        <is>
          <t>Face</t>
        </is>
      </c>
      <c r="E187" s="39" t="inlineStr">
        <is>
          <t>JUST MARK-Dmart</t>
        </is>
      </c>
      <c r="F187" s="41" t="inlineStr">
        <is>
          <t>West</t>
        </is>
      </c>
      <c r="G187" s="42" t="n">
        <v>1.3486</v>
      </c>
      <c r="H187" s="16">
        <f>IFERROR(G187/SUMIFS($G$4:$G$1504,$C$4:$C$1504,$C187,$D$4:$D$1504,$D187),0)</f>
        <v/>
      </c>
      <c r="I187" s="14">
        <f>$H187*SUMIFS('Forecast Engine'!$AK$4:$AK$12,'Forecast Engine'!$A$4:$A$12,$C187,'Forecast Engine'!$B$4:$B$12,$D187)</f>
        <v/>
      </c>
      <c r="J187" s="14">
        <f>$H187*SUMIFS('Forecast Engine'!$AL$4:$AL$12,'Forecast Engine'!$A$4:$A$12,$C187,'Forecast Engine'!$B$4:$B$12,$D187)</f>
        <v/>
      </c>
      <c r="K187" s="14">
        <f>$H187*SUMIFS('Forecast Engine'!$AM$4:$AM$12,'Forecast Engine'!$A$4:$A$12,$C187,'Forecast Engine'!$B$4:$B$12,$D187)</f>
        <v/>
      </c>
      <c r="L187" s="43">
        <f>SUM(I187:K187)</f>
        <v/>
      </c>
    </row>
    <row r="188">
      <c r="A188" s="39" t="inlineStr"/>
      <c r="B188" s="39" t="inlineStr"/>
      <c r="C188" s="40" t="inlineStr">
        <is>
          <t>The Derma Co.</t>
        </is>
      </c>
      <c r="D188" s="40" t="inlineStr">
        <is>
          <t>Face</t>
        </is>
      </c>
      <c r="E188" s="39" t="inlineStr">
        <is>
          <t>Vanaja Agencies</t>
        </is>
      </c>
      <c r="F188" s="41" t="inlineStr">
        <is>
          <t>South-2</t>
        </is>
      </c>
      <c r="G188" s="42" t="n">
        <v>0.9703000000000001</v>
      </c>
      <c r="H188" s="16">
        <f>IFERROR(G188/SUMIFS($G$4:$G$1504,$C$4:$C$1504,$C188,$D$4:$D$1504,$D188),0)</f>
        <v/>
      </c>
      <c r="I188" s="14">
        <f>$H188*SUMIFS('Forecast Engine'!$AK$4:$AK$12,'Forecast Engine'!$A$4:$A$12,$C188,'Forecast Engine'!$B$4:$B$12,$D188)</f>
        <v/>
      </c>
      <c r="J188" s="14">
        <f>$H188*SUMIFS('Forecast Engine'!$AL$4:$AL$12,'Forecast Engine'!$A$4:$A$12,$C188,'Forecast Engine'!$B$4:$B$12,$D188)</f>
        <v/>
      </c>
      <c r="K188" s="14">
        <f>$H188*SUMIFS('Forecast Engine'!$AM$4:$AM$12,'Forecast Engine'!$A$4:$A$12,$C188,'Forecast Engine'!$B$4:$B$12,$D188)</f>
        <v/>
      </c>
      <c r="L188" s="43">
        <f>SUM(I188:K188)</f>
        <v/>
      </c>
    </row>
    <row r="189">
      <c r="A189" s="39" t="inlineStr">
        <is>
          <t>10200051</t>
        </is>
      </c>
      <c r="B189" s="39" t="inlineStr">
        <is>
          <t>1% Hyaluronic Sunscreen Aqua Gel</t>
        </is>
      </c>
      <c r="C189" s="40" t="inlineStr">
        <is>
          <t>The Derma Co.</t>
        </is>
      </c>
      <c r="D189" s="40" t="inlineStr">
        <is>
          <t>Face</t>
        </is>
      </c>
      <c r="E189" s="39" t="inlineStr">
        <is>
          <t>D-Mart</t>
        </is>
      </c>
      <c r="F189" s="41" t="inlineStr">
        <is>
          <t>West</t>
        </is>
      </c>
      <c r="G189" s="42" t="n">
        <v>0.9357</v>
      </c>
      <c r="H189" s="16">
        <f>IFERROR(G189/SUMIFS($G$4:$G$1504,$C$4:$C$1504,$C189,$D$4:$D$1504,$D189),0)</f>
        <v/>
      </c>
      <c r="I189" s="14">
        <f>$H189*SUMIFS('Forecast Engine'!$AK$4:$AK$12,'Forecast Engine'!$A$4:$A$12,$C189,'Forecast Engine'!$B$4:$B$12,$D189)</f>
        <v/>
      </c>
      <c r="J189" s="14">
        <f>$H189*SUMIFS('Forecast Engine'!$AL$4:$AL$12,'Forecast Engine'!$A$4:$A$12,$C189,'Forecast Engine'!$B$4:$B$12,$D189)</f>
        <v/>
      </c>
      <c r="K189" s="14">
        <f>$H189*SUMIFS('Forecast Engine'!$AM$4:$AM$12,'Forecast Engine'!$A$4:$A$12,$C189,'Forecast Engine'!$B$4:$B$12,$D189)</f>
        <v/>
      </c>
      <c r="L189" s="43">
        <f>SUM(I189:K189)</f>
        <v/>
      </c>
    </row>
    <row r="190">
      <c r="A190" s="39" t="inlineStr"/>
      <c r="B190" s="39" t="inlineStr"/>
      <c r="C190" s="40" t="inlineStr">
        <is>
          <t>The Derma Co.</t>
        </is>
      </c>
      <c r="D190" s="40" t="inlineStr">
        <is>
          <t>Face</t>
        </is>
      </c>
      <c r="E190" s="39" t="inlineStr">
        <is>
          <t>D-Mart</t>
        </is>
      </c>
      <c r="F190" s="41" t="inlineStr">
        <is>
          <t>North</t>
        </is>
      </c>
      <c r="G190" s="42" t="n">
        <v>0.9191</v>
      </c>
      <c r="H190" s="16">
        <f>IFERROR(G190/SUMIFS($G$4:$G$1504,$C$4:$C$1504,$C190,$D$4:$D$1504,$D190),0)</f>
        <v/>
      </c>
      <c r="I190" s="14">
        <f>$H190*SUMIFS('Forecast Engine'!$AK$4:$AK$12,'Forecast Engine'!$A$4:$A$12,$C190,'Forecast Engine'!$B$4:$B$12,$D190)</f>
        <v/>
      </c>
      <c r="J190" s="14">
        <f>$H190*SUMIFS('Forecast Engine'!$AL$4:$AL$12,'Forecast Engine'!$A$4:$A$12,$C190,'Forecast Engine'!$B$4:$B$12,$D190)</f>
        <v/>
      </c>
      <c r="K190" s="14">
        <f>$H190*SUMIFS('Forecast Engine'!$AM$4:$AM$12,'Forecast Engine'!$A$4:$A$12,$C190,'Forecast Engine'!$B$4:$B$12,$D190)</f>
        <v/>
      </c>
      <c r="L190" s="43">
        <f>SUM(I190:K190)</f>
        <v/>
      </c>
    </row>
    <row r="191">
      <c r="A191" s="39" t="inlineStr">
        <is>
          <t>10200051</t>
        </is>
      </c>
      <c r="B191" s="39" t="inlineStr">
        <is>
          <t>1% Hyaluronic Sunscreen Aqua Gel</t>
        </is>
      </c>
      <c r="C191" s="40" t="inlineStr">
        <is>
          <t>The Derma Co.</t>
        </is>
      </c>
      <c r="D191" s="40" t="inlineStr">
        <is>
          <t>Face</t>
        </is>
      </c>
      <c r="E191" s="39" t="inlineStr">
        <is>
          <t>Kiran Trading Company</t>
        </is>
      </c>
      <c r="F191" s="41" t="inlineStr">
        <is>
          <t>West</t>
        </is>
      </c>
      <c r="G191" s="42" t="n">
        <v>0.8119</v>
      </c>
      <c r="H191" s="16">
        <f>IFERROR(G191/SUMIFS($G$4:$G$1504,$C$4:$C$1504,$C191,$D$4:$D$1504,$D191),0)</f>
        <v/>
      </c>
      <c r="I191" s="14">
        <f>$H191*SUMIFS('Forecast Engine'!$AK$4:$AK$12,'Forecast Engine'!$A$4:$A$12,$C191,'Forecast Engine'!$B$4:$B$12,$D191)</f>
        <v/>
      </c>
      <c r="J191" s="14">
        <f>$H191*SUMIFS('Forecast Engine'!$AL$4:$AL$12,'Forecast Engine'!$A$4:$A$12,$C191,'Forecast Engine'!$B$4:$B$12,$D191)</f>
        <v/>
      </c>
      <c r="K191" s="14">
        <f>$H191*SUMIFS('Forecast Engine'!$AM$4:$AM$12,'Forecast Engine'!$A$4:$A$12,$C191,'Forecast Engine'!$B$4:$B$12,$D191)</f>
        <v/>
      </c>
      <c r="L191" s="43">
        <f>SUM(I191:K191)</f>
        <v/>
      </c>
    </row>
    <row r="192">
      <c r="A192" s="39" t="inlineStr">
        <is>
          <t>10200214</t>
        </is>
      </c>
      <c r="B192" s="39" t="inlineStr">
        <is>
          <t>1% Hyaluronic Sunscreen Aqua Gel 80g</t>
        </is>
      </c>
      <c r="C192" s="40" t="inlineStr">
        <is>
          <t>The Derma Co.</t>
        </is>
      </c>
      <c r="D192" s="40" t="inlineStr">
        <is>
          <t>Face</t>
        </is>
      </c>
      <c r="E192" s="39" t="inlineStr">
        <is>
          <t>Apollo Healthco</t>
        </is>
      </c>
      <c r="F192" s="41" t="inlineStr">
        <is>
          <t>South-1</t>
        </is>
      </c>
      <c r="G192" s="42" t="n">
        <v>0.8078</v>
      </c>
      <c r="H192" s="16">
        <f>IFERROR(G192/SUMIFS($G$4:$G$1504,$C$4:$C$1504,$C192,$D$4:$D$1504,$D192),0)</f>
        <v/>
      </c>
      <c r="I192" s="14">
        <f>$H192*SUMIFS('Forecast Engine'!$AK$4:$AK$12,'Forecast Engine'!$A$4:$A$12,$C192,'Forecast Engine'!$B$4:$B$12,$D192)</f>
        <v/>
      </c>
      <c r="J192" s="14">
        <f>$H192*SUMIFS('Forecast Engine'!$AL$4:$AL$12,'Forecast Engine'!$A$4:$A$12,$C192,'Forecast Engine'!$B$4:$B$12,$D192)</f>
        <v/>
      </c>
      <c r="K192" s="14">
        <f>$H192*SUMIFS('Forecast Engine'!$AM$4:$AM$12,'Forecast Engine'!$A$4:$A$12,$C192,'Forecast Engine'!$B$4:$B$12,$D192)</f>
        <v/>
      </c>
      <c r="L192" s="43">
        <f>SUM(I192:K192)</f>
        <v/>
      </c>
    </row>
    <row r="193">
      <c r="A193" s="39" t="inlineStr">
        <is>
          <t>10200048</t>
        </is>
      </c>
      <c r="B193" s="39" t="inlineStr">
        <is>
          <t>The Derma 1% Salicylic Acid Gel Face Wash</t>
        </is>
      </c>
      <c r="C193" s="40" t="inlineStr">
        <is>
          <t>The Derma Co.</t>
        </is>
      </c>
      <c r="D193" s="40" t="inlineStr">
        <is>
          <t>Face</t>
        </is>
      </c>
      <c r="E193" s="39" t="inlineStr">
        <is>
          <t>G.V Enterprises</t>
        </is>
      </c>
      <c r="F193" s="41" t="inlineStr">
        <is>
          <t>South-1</t>
        </is>
      </c>
      <c r="G193" s="42" t="n">
        <v>0.7786</v>
      </c>
      <c r="H193" s="16">
        <f>IFERROR(G193/SUMIFS($G$4:$G$1504,$C$4:$C$1504,$C193,$D$4:$D$1504,$D193),0)</f>
        <v/>
      </c>
      <c r="I193" s="14">
        <f>$H193*SUMIFS('Forecast Engine'!$AK$4:$AK$12,'Forecast Engine'!$A$4:$A$12,$C193,'Forecast Engine'!$B$4:$B$12,$D193)</f>
        <v/>
      </c>
      <c r="J193" s="14">
        <f>$H193*SUMIFS('Forecast Engine'!$AL$4:$AL$12,'Forecast Engine'!$A$4:$A$12,$C193,'Forecast Engine'!$B$4:$B$12,$D193)</f>
        <v/>
      </c>
      <c r="K193" s="14">
        <f>$H193*SUMIFS('Forecast Engine'!$AM$4:$AM$12,'Forecast Engine'!$A$4:$A$12,$C193,'Forecast Engine'!$B$4:$B$12,$D193)</f>
        <v/>
      </c>
      <c r="L193" s="43">
        <f>SUM(I193:K193)</f>
        <v/>
      </c>
    </row>
    <row r="194">
      <c r="A194" s="39" t="inlineStr">
        <is>
          <t>10200051</t>
        </is>
      </c>
      <c r="B194" s="39" t="inlineStr">
        <is>
          <t>1% Hyaluronic Sunscreen Aqua Gel</t>
        </is>
      </c>
      <c r="C194" s="40" t="inlineStr">
        <is>
          <t>The Derma Co.</t>
        </is>
      </c>
      <c r="D194" s="40" t="inlineStr">
        <is>
          <t>Face</t>
        </is>
      </c>
      <c r="E194" s="39" t="inlineStr">
        <is>
          <t>Wellness Forever</t>
        </is>
      </c>
      <c r="F194" s="41" t="inlineStr">
        <is>
          <t>West</t>
        </is>
      </c>
      <c r="G194" s="42" t="n">
        <v>0.7783</v>
      </c>
      <c r="H194" s="16">
        <f>IFERROR(G194/SUMIFS($G$4:$G$1504,$C$4:$C$1504,$C194,$D$4:$D$1504,$D194),0)</f>
        <v/>
      </c>
      <c r="I194" s="14">
        <f>$H194*SUMIFS('Forecast Engine'!$AK$4:$AK$12,'Forecast Engine'!$A$4:$A$12,$C194,'Forecast Engine'!$B$4:$B$12,$D194)</f>
        <v/>
      </c>
      <c r="J194" s="14">
        <f>$H194*SUMIFS('Forecast Engine'!$AL$4:$AL$12,'Forecast Engine'!$A$4:$A$12,$C194,'Forecast Engine'!$B$4:$B$12,$D194)</f>
        <v/>
      </c>
      <c r="K194" s="14">
        <f>$H194*SUMIFS('Forecast Engine'!$AM$4:$AM$12,'Forecast Engine'!$A$4:$A$12,$C194,'Forecast Engine'!$B$4:$B$12,$D194)</f>
        <v/>
      </c>
      <c r="L194" s="43">
        <f>SUM(I194:K194)</f>
        <v/>
      </c>
    </row>
    <row r="195">
      <c r="A195" s="39" t="inlineStr">
        <is>
          <t>10200051</t>
        </is>
      </c>
      <c r="B195" s="39" t="inlineStr">
        <is>
          <t>1% Hyaluronic Sunscreen Aqua Gel</t>
        </is>
      </c>
      <c r="C195" s="40" t="inlineStr">
        <is>
          <t>The Derma Co.</t>
        </is>
      </c>
      <c r="D195" s="40" t="inlineStr">
        <is>
          <t>Face</t>
        </is>
      </c>
      <c r="E195" s="39" t="inlineStr">
        <is>
          <t>G.V Enterprises</t>
        </is>
      </c>
      <c r="F195" s="41" t="inlineStr">
        <is>
          <t>South-1</t>
        </is>
      </c>
      <c r="G195" s="42" t="n">
        <v>0.7393</v>
      </c>
      <c r="H195" s="16">
        <f>IFERROR(G195/SUMIFS($G$4:$G$1504,$C$4:$C$1504,$C195,$D$4:$D$1504,$D195),0)</f>
        <v/>
      </c>
      <c r="I195" s="14">
        <f>$H195*SUMIFS('Forecast Engine'!$AK$4:$AK$12,'Forecast Engine'!$A$4:$A$12,$C195,'Forecast Engine'!$B$4:$B$12,$D195)</f>
        <v/>
      </c>
      <c r="J195" s="14">
        <f>$H195*SUMIFS('Forecast Engine'!$AL$4:$AL$12,'Forecast Engine'!$A$4:$A$12,$C195,'Forecast Engine'!$B$4:$B$12,$D195)</f>
        <v/>
      </c>
      <c r="K195" s="14">
        <f>$H195*SUMIFS('Forecast Engine'!$AM$4:$AM$12,'Forecast Engine'!$A$4:$A$12,$C195,'Forecast Engine'!$B$4:$B$12,$D195)</f>
        <v/>
      </c>
      <c r="L195" s="43">
        <f>SUM(I195:K195)</f>
        <v/>
      </c>
    </row>
    <row r="196">
      <c r="A196" s="39" t="inlineStr"/>
      <c r="B196" s="39" t="inlineStr"/>
      <c r="C196" s="40" t="inlineStr">
        <is>
          <t>The Derma Co.</t>
        </is>
      </c>
      <c r="D196" s="40" t="inlineStr">
        <is>
          <t>Face</t>
        </is>
      </c>
      <c r="E196" s="39" t="inlineStr">
        <is>
          <t>Arc Foods And Beverages</t>
        </is>
      </c>
      <c r="F196" s="41" t="inlineStr">
        <is>
          <t>South-1</t>
        </is>
      </c>
      <c r="G196" s="42" t="n">
        <v>0.7294</v>
      </c>
      <c r="H196" s="16">
        <f>IFERROR(G196/SUMIFS($G$4:$G$1504,$C$4:$C$1504,$C196,$D$4:$D$1504,$D196),0)</f>
        <v/>
      </c>
      <c r="I196" s="14">
        <f>$H196*SUMIFS('Forecast Engine'!$AK$4:$AK$12,'Forecast Engine'!$A$4:$A$12,$C196,'Forecast Engine'!$B$4:$B$12,$D196)</f>
        <v/>
      </c>
      <c r="J196" s="14">
        <f>$H196*SUMIFS('Forecast Engine'!$AL$4:$AL$12,'Forecast Engine'!$A$4:$A$12,$C196,'Forecast Engine'!$B$4:$B$12,$D196)</f>
        <v/>
      </c>
      <c r="K196" s="14">
        <f>$H196*SUMIFS('Forecast Engine'!$AM$4:$AM$12,'Forecast Engine'!$A$4:$A$12,$C196,'Forecast Engine'!$B$4:$B$12,$D196)</f>
        <v/>
      </c>
      <c r="L196" s="43">
        <f>SUM(I196:K196)</f>
        <v/>
      </c>
    </row>
    <row r="197">
      <c r="A197" s="39" t="inlineStr">
        <is>
          <t>10200051</t>
        </is>
      </c>
      <c r="B197" s="39" t="inlineStr">
        <is>
          <t>1% Hyaluronic Sunscreen Aqua Gel</t>
        </is>
      </c>
      <c r="C197" s="40" t="inlineStr">
        <is>
          <t>The Derma Co.</t>
        </is>
      </c>
      <c r="D197" s="40" t="inlineStr">
        <is>
          <t>Face</t>
        </is>
      </c>
      <c r="E197" s="39" t="inlineStr">
        <is>
          <t>JUST MARK-Dmart</t>
        </is>
      </c>
      <c r="F197" s="41" t="inlineStr">
        <is>
          <t>West</t>
        </is>
      </c>
      <c r="G197" s="42" t="n">
        <v>0.6375</v>
      </c>
      <c r="H197" s="16">
        <f>IFERROR(G197/SUMIFS($G$4:$G$1504,$C$4:$C$1504,$C197,$D$4:$D$1504,$D197),0)</f>
        <v/>
      </c>
      <c r="I197" s="14">
        <f>$H197*SUMIFS('Forecast Engine'!$AK$4:$AK$12,'Forecast Engine'!$A$4:$A$12,$C197,'Forecast Engine'!$B$4:$B$12,$D197)</f>
        <v/>
      </c>
      <c r="J197" s="14">
        <f>$H197*SUMIFS('Forecast Engine'!$AL$4:$AL$12,'Forecast Engine'!$A$4:$A$12,$C197,'Forecast Engine'!$B$4:$B$12,$D197)</f>
        <v/>
      </c>
      <c r="K197" s="14">
        <f>$H197*SUMIFS('Forecast Engine'!$AM$4:$AM$12,'Forecast Engine'!$A$4:$A$12,$C197,'Forecast Engine'!$B$4:$B$12,$D197)</f>
        <v/>
      </c>
      <c r="L197" s="43">
        <f>SUM(I197:K197)</f>
        <v/>
      </c>
    </row>
    <row r="198">
      <c r="A198" s="39" t="inlineStr">
        <is>
          <t>10200048</t>
        </is>
      </c>
      <c r="B198" s="39" t="inlineStr">
        <is>
          <t>The Derma 1% Salicylic Acid Gel Face Wash</t>
        </is>
      </c>
      <c r="C198" s="40" t="inlineStr">
        <is>
          <t>The Derma Co.</t>
        </is>
      </c>
      <c r="D198" s="40" t="inlineStr">
        <is>
          <t>Face</t>
        </is>
      </c>
      <c r="E198" s="39" t="inlineStr">
        <is>
          <t>Sri Vijaya Durga Agencie</t>
        </is>
      </c>
      <c r="F198" s="41" t="inlineStr">
        <is>
          <t>South-2</t>
        </is>
      </c>
      <c r="G198" s="42" t="n">
        <v>0.6331</v>
      </c>
      <c r="H198" s="16">
        <f>IFERROR(G198/SUMIFS($G$4:$G$1504,$C$4:$C$1504,$C198,$D$4:$D$1504,$D198),0)</f>
        <v/>
      </c>
      <c r="I198" s="14">
        <f>$H198*SUMIFS('Forecast Engine'!$AK$4:$AK$12,'Forecast Engine'!$A$4:$A$12,$C198,'Forecast Engine'!$B$4:$B$12,$D198)</f>
        <v/>
      </c>
      <c r="J198" s="14">
        <f>$H198*SUMIFS('Forecast Engine'!$AL$4:$AL$12,'Forecast Engine'!$A$4:$A$12,$C198,'Forecast Engine'!$B$4:$B$12,$D198)</f>
        <v/>
      </c>
      <c r="K198" s="14">
        <f>$H198*SUMIFS('Forecast Engine'!$AM$4:$AM$12,'Forecast Engine'!$A$4:$A$12,$C198,'Forecast Engine'!$B$4:$B$12,$D198)</f>
        <v/>
      </c>
      <c r="L198" s="43">
        <f>SUM(I198:K198)</f>
        <v/>
      </c>
    </row>
    <row r="199">
      <c r="A199" s="39" t="inlineStr">
        <is>
          <t>10200048</t>
        </is>
      </c>
      <c r="B199" s="39" t="inlineStr">
        <is>
          <t>The Derma 1% Salicylic Acid Gel Face Wash</t>
        </is>
      </c>
      <c r="C199" s="40" t="inlineStr">
        <is>
          <t>The Derma Co.</t>
        </is>
      </c>
      <c r="D199" s="40" t="inlineStr">
        <is>
          <t>Face</t>
        </is>
      </c>
      <c r="E199" s="39" t="inlineStr">
        <is>
          <t>D-Mart</t>
        </is>
      </c>
      <c r="F199" s="41" t="inlineStr">
        <is>
          <t>South-1</t>
        </is>
      </c>
      <c r="G199" s="42" t="n">
        <v>0.6273</v>
      </c>
      <c r="H199" s="16">
        <f>IFERROR(G199/SUMIFS($G$4:$G$1504,$C$4:$C$1504,$C199,$D$4:$D$1504,$D199),0)</f>
        <v/>
      </c>
      <c r="I199" s="14">
        <f>$H199*SUMIFS('Forecast Engine'!$AK$4:$AK$12,'Forecast Engine'!$A$4:$A$12,$C199,'Forecast Engine'!$B$4:$B$12,$D199)</f>
        <v/>
      </c>
      <c r="J199" s="14">
        <f>$H199*SUMIFS('Forecast Engine'!$AL$4:$AL$12,'Forecast Engine'!$A$4:$A$12,$C199,'Forecast Engine'!$B$4:$B$12,$D199)</f>
        <v/>
      </c>
      <c r="K199" s="14">
        <f>$H199*SUMIFS('Forecast Engine'!$AM$4:$AM$12,'Forecast Engine'!$A$4:$A$12,$C199,'Forecast Engine'!$B$4:$B$12,$D199)</f>
        <v/>
      </c>
      <c r="L199" s="43">
        <f>SUM(I199:K199)</f>
        <v/>
      </c>
    </row>
    <row r="200">
      <c r="A200" s="39" t="inlineStr">
        <is>
          <t>10200051</t>
        </is>
      </c>
      <c r="B200" s="39" t="inlineStr">
        <is>
          <t>1% Hyaluronic Sunscreen Aqua Gel</t>
        </is>
      </c>
      <c r="C200" s="40" t="inlineStr">
        <is>
          <t>The Derma Co.</t>
        </is>
      </c>
      <c r="D200" s="40" t="inlineStr">
        <is>
          <t>Face</t>
        </is>
      </c>
      <c r="E200" s="39" t="inlineStr">
        <is>
          <t>D-Mart</t>
        </is>
      </c>
      <c r="F200" s="41" t="inlineStr">
        <is>
          <t>South-1</t>
        </is>
      </c>
      <c r="G200" s="42" t="n">
        <v>0.6076</v>
      </c>
      <c r="H200" s="16">
        <f>IFERROR(G200/SUMIFS($G$4:$G$1504,$C$4:$C$1504,$C200,$D$4:$D$1504,$D200),0)</f>
        <v/>
      </c>
      <c r="I200" s="14">
        <f>$H200*SUMIFS('Forecast Engine'!$AK$4:$AK$12,'Forecast Engine'!$A$4:$A$12,$C200,'Forecast Engine'!$B$4:$B$12,$D200)</f>
        <v/>
      </c>
      <c r="J200" s="14">
        <f>$H200*SUMIFS('Forecast Engine'!$AL$4:$AL$12,'Forecast Engine'!$A$4:$A$12,$C200,'Forecast Engine'!$B$4:$B$12,$D200)</f>
        <v/>
      </c>
      <c r="K200" s="14">
        <f>$H200*SUMIFS('Forecast Engine'!$AM$4:$AM$12,'Forecast Engine'!$A$4:$A$12,$C200,'Forecast Engine'!$B$4:$B$12,$D200)</f>
        <v/>
      </c>
      <c r="L200" s="43">
        <f>SUM(I200:K200)</f>
        <v/>
      </c>
    </row>
    <row r="201">
      <c r="A201" s="39" t="inlineStr"/>
      <c r="B201" s="39" t="inlineStr"/>
      <c r="C201" s="40" t="inlineStr">
        <is>
          <t>The Derma Co.</t>
        </is>
      </c>
      <c r="D201" s="40" t="inlineStr">
        <is>
          <t>Face</t>
        </is>
      </c>
      <c r="E201" s="39" t="inlineStr">
        <is>
          <t>Apollo Healthco</t>
        </is>
      </c>
      <c r="F201" s="41" t="inlineStr">
        <is>
          <t>North</t>
        </is>
      </c>
      <c r="G201" s="42" t="n">
        <v>0.6067</v>
      </c>
      <c r="H201" s="16">
        <f>IFERROR(G201/SUMIFS($G$4:$G$1504,$C$4:$C$1504,$C201,$D$4:$D$1504,$D201),0)</f>
        <v/>
      </c>
      <c r="I201" s="14">
        <f>$H201*SUMIFS('Forecast Engine'!$AK$4:$AK$12,'Forecast Engine'!$A$4:$A$12,$C201,'Forecast Engine'!$B$4:$B$12,$D201)</f>
        <v/>
      </c>
      <c r="J201" s="14">
        <f>$H201*SUMIFS('Forecast Engine'!$AL$4:$AL$12,'Forecast Engine'!$A$4:$A$12,$C201,'Forecast Engine'!$B$4:$B$12,$D201)</f>
        <v/>
      </c>
      <c r="K201" s="14">
        <f>$H201*SUMIFS('Forecast Engine'!$AM$4:$AM$12,'Forecast Engine'!$A$4:$A$12,$C201,'Forecast Engine'!$B$4:$B$12,$D201)</f>
        <v/>
      </c>
      <c r="L201" s="43">
        <f>SUM(I201:K201)</f>
        <v/>
      </c>
    </row>
    <row r="202">
      <c r="A202" s="39" t="inlineStr">
        <is>
          <t>10200316</t>
        </is>
      </c>
      <c r="B202" s="39" t="inlineStr">
        <is>
          <t>TDC 1% Hyaluronic Sunscreen Aqua Gel 125g</t>
        </is>
      </c>
      <c r="C202" s="40" t="inlineStr">
        <is>
          <t>The Derma Co.</t>
        </is>
      </c>
      <c r="D202" s="40" t="inlineStr">
        <is>
          <t>Face</t>
        </is>
      </c>
      <c r="E202" s="39" t="inlineStr">
        <is>
          <t>H&amp;G</t>
        </is>
      </c>
      <c r="F202" s="41" t="inlineStr">
        <is>
          <t>South-1</t>
        </is>
      </c>
      <c r="G202" s="42" t="n">
        <v>0.5705</v>
      </c>
      <c r="H202" s="16">
        <f>IFERROR(G202/SUMIFS($G$4:$G$1504,$C$4:$C$1504,$C202,$D$4:$D$1504,$D202),0)</f>
        <v/>
      </c>
      <c r="I202" s="14">
        <f>$H202*SUMIFS('Forecast Engine'!$AK$4:$AK$12,'Forecast Engine'!$A$4:$A$12,$C202,'Forecast Engine'!$B$4:$B$12,$D202)</f>
        <v/>
      </c>
      <c r="J202" s="14">
        <f>$H202*SUMIFS('Forecast Engine'!$AL$4:$AL$12,'Forecast Engine'!$A$4:$A$12,$C202,'Forecast Engine'!$B$4:$B$12,$D202)</f>
        <v/>
      </c>
      <c r="K202" s="14">
        <f>$H202*SUMIFS('Forecast Engine'!$AM$4:$AM$12,'Forecast Engine'!$A$4:$A$12,$C202,'Forecast Engine'!$B$4:$B$12,$D202)</f>
        <v/>
      </c>
      <c r="L202" s="43">
        <f>SUM(I202:K202)</f>
        <v/>
      </c>
    </row>
    <row r="203">
      <c r="A203" s="39" t="inlineStr"/>
      <c r="B203" s="39" t="inlineStr"/>
      <c r="C203" s="40" t="inlineStr">
        <is>
          <t>The Derma Co.</t>
        </is>
      </c>
      <c r="D203" s="40" t="inlineStr">
        <is>
          <t>Face</t>
        </is>
      </c>
      <c r="E203" s="39" t="inlineStr">
        <is>
          <t>D-Mart</t>
        </is>
      </c>
      <c r="F203" s="41" t="inlineStr">
        <is>
          <t>West</t>
        </is>
      </c>
      <c r="G203" s="42" t="n">
        <v>0.5478</v>
      </c>
      <c r="H203" s="16">
        <f>IFERROR(G203/SUMIFS($G$4:$G$1504,$C$4:$C$1504,$C203,$D$4:$D$1504,$D203),0)</f>
        <v/>
      </c>
      <c r="I203" s="14">
        <f>$H203*SUMIFS('Forecast Engine'!$AK$4:$AK$12,'Forecast Engine'!$A$4:$A$12,$C203,'Forecast Engine'!$B$4:$B$12,$D203)</f>
        <v/>
      </c>
      <c r="J203" s="14">
        <f>$H203*SUMIFS('Forecast Engine'!$AL$4:$AL$12,'Forecast Engine'!$A$4:$A$12,$C203,'Forecast Engine'!$B$4:$B$12,$D203)</f>
        <v/>
      </c>
      <c r="K203" s="14">
        <f>$H203*SUMIFS('Forecast Engine'!$AM$4:$AM$12,'Forecast Engine'!$A$4:$A$12,$C203,'Forecast Engine'!$B$4:$B$12,$D203)</f>
        <v/>
      </c>
      <c r="L203" s="43">
        <f>SUM(I203:K203)</f>
        <v/>
      </c>
    </row>
    <row r="204">
      <c r="A204" s="39" t="inlineStr">
        <is>
          <t>10200316</t>
        </is>
      </c>
      <c r="B204" s="39" t="inlineStr">
        <is>
          <t>TDC 1% Hyaluronic Sunscreen Aqua Gel 125g</t>
        </is>
      </c>
      <c r="C204" s="40" t="inlineStr">
        <is>
          <t>The Derma Co.</t>
        </is>
      </c>
      <c r="D204" s="40" t="inlineStr">
        <is>
          <t>Face</t>
        </is>
      </c>
      <c r="E204" s="39" t="inlineStr">
        <is>
          <t>Az Enterprises</t>
        </is>
      </c>
      <c r="F204" s="41" t="inlineStr">
        <is>
          <t>South-1</t>
        </is>
      </c>
      <c r="G204" s="42" t="n">
        <v>0.5001</v>
      </c>
      <c r="H204" s="16">
        <f>IFERROR(G204/SUMIFS($G$4:$G$1504,$C$4:$C$1504,$C204,$D$4:$D$1504,$D204),0)</f>
        <v/>
      </c>
      <c r="I204" s="14">
        <f>$H204*SUMIFS('Forecast Engine'!$AK$4:$AK$12,'Forecast Engine'!$A$4:$A$12,$C204,'Forecast Engine'!$B$4:$B$12,$D204)</f>
        <v/>
      </c>
      <c r="J204" s="14">
        <f>$H204*SUMIFS('Forecast Engine'!$AL$4:$AL$12,'Forecast Engine'!$A$4:$A$12,$C204,'Forecast Engine'!$B$4:$B$12,$D204)</f>
        <v/>
      </c>
      <c r="K204" s="14">
        <f>$H204*SUMIFS('Forecast Engine'!$AM$4:$AM$12,'Forecast Engine'!$A$4:$A$12,$C204,'Forecast Engine'!$B$4:$B$12,$D204)</f>
        <v/>
      </c>
      <c r="L204" s="43">
        <f>SUM(I204:K204)</f>
        <v/>
      </c>
    </row>
    <row r="205">
      <c r="A205" s="39" t="inlineStr"/>
      <c r="B205" s="39" t="inlineStr"/>
      <c r="C205" s="40" t="inlineStr">
        <is>
          <t>The Derma Co.</t>
        </is>
      </c>
      <c r="D205" s="40" t="inlineStr">
        <is>
          <t>Face</t>
        </is>
      </c>
      <c r="E205" s="39" t="inlineStr">
        <is>
          <t>D.L. Sales - MT</t>
        </is>
      </c>
      <c r="F205" s="41" t="inlineStr">
        <is>
          <t>East</t>
        </is>
      </c>
      <c r="G205" s="42" t="n">
        <v>0.4975</v>
      </c>
      <c r="H205" s="16">
        <f>IFERROR(G205/SUMIFS($G$4:$G$1504,$C$4:$C$1504,$C205,$D$4:$D$1504,$D205),0)</f>
        <v/>
      </c>
      <c r="I205" s="14">
        <f>$H205*SUMIFS('Forecast Engine'!$AK$4:$AK$12,'Forecast Engine'!$A$4:$A$12,$C205,'Forecast Engine'!$B$4:$B$12,$D205)</f>
        <v/>
      </c>
      <c r="J205" s="14">
        <f>$H205*SUMIFS('Forecast Engine'!$AL$4:$AL$12,'Forecast Engine'!$A$4:$A$12,$C205,'Forecast Engine'!$B$4:$B$12,$D205)</f>
        <v/>
      </c>
      <c r="K205" s="14">
        <f>$H205*SUMIFS('Forecast Engine'!$AM$4:$AM$12,'Forecast Engine'!$A$4:$A$12,$C205,'Forecast Engine'!$B$4:$B$12,$D205)</f>
        <v/>
      </c>
      <c r="L205" s="43">
        <f>SUM(I205:K205)</f>
        <v/>
      </c>
    </row>
    <row r="206">
      <c r="A206" s="39" t="inlineStr">
        <is>
          <t>10200051</t>
        </is>
      </c>
      <c r="B206" s="39" t="inlineStr">
        <is>
          <t>1% Hyaluronic Sunscreen Aqua Gel</t>
        </is>
      </c>
      <c r="C206" s="40" t="inlineStr">
        <is>
          <t>The Derma Co.</t>
        </is>
      </c>
      <c r="D206" s="40" t="inlineStr">
        <is>
          <t>Face</t>
        </is>
      </c>
      <c r="E206" s="39" t="inlineStr">
        <is>
          <t>Sri Vijaya Durga Agencie</t>
        </is>
      </c>
      <c r="F206" s="41" t="inlineStr">
        <is>
          <t>South-2</t>
        </is>
      </c>
      <c r="G206" s="42" t="n">
        <v>0.4768</v>
      </c>
      <c r="H206" s="16">
        <f>IFERROR(G206/SUMIFS($G$4:$G$1504,$C$4:$C$1504,$C206,$D$4:$D$1504,$D206),0)</f>
        <v/>
      </c>
      <c r="I206" s="14">
        <f>$H206*SUMIFS('Forecast Engine'!$AK$4:$AK$12,'Forecast Engine'!$A$4:$A$12,$C206,'Forecast Engine'!$B$4:$B$12,$D206)</f>
        <v/>
      </c>
      <c r="J206" s="14">
        <f>$H206*SUMIFS('Forecast Engine'!$AL$4:$AL$12,'Forecast Engine'!$A$4:$A$12,$C206,'Forecast Engine'!$B$4:$B$12,$D206)</f>
        <v/>
      </c>
      <c r="K206" s="14">
        <f>$H206*SUMIFS('Forecast Engine'!$AM$4:$AM$12,'Forecast Engine'!$A$4:$A$12,$C206,'Forecast Engine'!$B$4:$B$12,$D206)</f>
        <v/>
      </c>
      <c r="L206" s="43">
        <f>SUM(I206:K206)</f>
        <v/>
      </c>
    </row>
    <row r="207">
      <c r="A207" s="39" t="inlineStr">
        <is>
          <t>10200051</t>
        </is>
      </c>
      <c r="B207" s="39" t="inlineStr">
        <is>
          <t>1% Hyaluronic Sunscreen Aqua Gel</t>
        </is>
      </c>
      <c r="C207" s="40" t="inlineStr">
        <is>
          <t>The Derma Co.</t>
        </is>
      </c>
      <c r="D207" s="40" t="inlineStr">
        <is>
          <t>Face</t>
        </is>
      </c>
      <c r="E207" s="39" t="inlineStr">
        <is>
          <t>Az Enterprises</t>
        </is>
      </c>
      <c r="F207" s="41" t="inlineStr">
        <is>
          <t>South-1</t>
        </is>
      </c>
      <c r="G207" s="42" t="n">
        <v>0.4726</v>
      </c>
      <c r="H207" s="16">
        <f>IFERROR(G207/SUMIFS($G$4:$G$1504,$C$4:$C$1504,$C207,$D$4:$D$1504,$D207),0)</f>
        <v/>
      </c>
      <c r="I207" s="14">
        <f>$H207*SUMIFS('Forecast Engine'!$AK$4:$AK$12,'Forecast Engine'!$A$4:$A$12,$C207,'Forecast Engine'!$B$4:$B$12,$D207)</f>
        <v/>
      </c>
      <c r="J207" s="14">
        <f>$H207*SUMIFS('Forecast Engine'!$AL$4:$AL$12,'Forecast Engine'!$A$4:$A$12,$C207,'Forecast Engine'!$B$4:$B$12,$D207)</f>
        <v/>
      </c>
      <c r="K207" s="14">
        <f>$H207*SUMIFS('Forecast Engine'!$AM$4:$AM$12,'Forecast Engine'!$A$4:$A$12,$C207,'Forecast Engine'!$B$4:$B$12,$D207)</f>
        <v/>
      </c>
      <c r="L207" s="43">
        <f>SUM(I207:K207)</f>
        <v/>
      </c>
    </row>
    <row r="208">
      <c r="A208" s="39" t="inlineStr">
        <is>
          <t>10200315</t>
        </is>
      </c>
      <c r="B208" s="39" t="inlineStr">
        <is>
          <t>TDC 1% Kojic Acid Face Wash</t>
        </is>
      </c>
      <c r="C208" s="40" t="inlineStr">
        <is>
          <t>The Derma Co.</t>
        </is>
      </c>
      <c r="D208" s="40" t="inlineStr">
        <is>
          <t>Face</t>
        </is>
      </c>
      <c r="E208" s="39" t="inlineStr">
        <is>
          <t>Apollo Healthco</t>
        </is>
      </c>
      <c r="F208" s="41" t="inlineStr">
        <is>
          <t>South-1</t>
        </is>
      </c>
      <c r="G208" s="42" t="n">
        <v>0.4674</v>
      </c>
      <c r="H208" s="16">
        <f>IFERROR(G208/SUMIFS($G$4:$G$1504,$C$4:$C$1504,$C208,$D$4:$D$1504,$D208),0)</f>
        <v/>
      </c>
      <c r="I208" s="14">
        <f>$H208*SUMIFS('Forecast Engine'!$AK$4:$AK$12,'Forecast Engine'!$A$4:$A$12,$C208,'Forecast Engine'!$B$4:$B$12,$D208)</f>
        <v/>
      </c>
      <c r="J208" s="14">
        <f>$H208*SUMIFS('Forecast Engine'!$AL$4:$AL$12,'Forecast Engine'!$A$4:$A$12,$C208,'Forecast Engine'!$B$4:$B$12,$D208)</f>
        <v/>
      </c>
      <c r="K208" s="14">
        <f>$H208*SUMIFS('Forecast Engine'!$AM$4:$AM$12,'Forecast Engine'!$A$4:$A$12,$C208,'Forecast Engine'!$B$4:$B$12,$D208)</f>
        <v/>
      </c>
      <c r="L208" s="43">
        <f>SUM(I208:K208)</f>
        <v/>
      </c>
    </row>
    <row r="209">
      <c r="A209" s="39" t="inlineStr">
        <is>
          <t>10200325</t>
        </is>
      </c>
      <c r="B209" s="39" t="inlineStr">
        <is>
          <t>TDC 2% Sali Cinamide anti-acne face wash 150ml</t>
        </is>
      </c>
      <c r="C209" s="40" t="inlineStr">
        <is>
          <t>The Derma Co.</t>
        </is>
      </c>
      <c r="D209" s="40" t="inlineStr">
        <is>
          <t>Face</t>
        </is>
      </c>
      <c r="E209" s="39" t="inlineStr">
        <is>
          <t>Apollo Healthco</t>
        </is>
      </c>
      <c r="F209" s="41" t="inlineStr">
        <is>
          <t>South-1</t>
        </is>
      </c>
      <c r="G209" s="42" t="n">
        <v>0.4495</v>
      </c>
      <c r="H209" s="16">
        <f>IFERROR(G209/SUMIFS($G$4:$G$1504,$C$4:$C$1504,$C209,$D$4:$D$1504,$D209),0)</f>
        <v/>
      </c>
      <c r="I209" s="14">
        <f>$H209*SUMIFS('Forecast Engine'!$AK$4:$AK$12,'Forecast Engine'!$A$4:$A$12,$C209,'Forecast Engine'!$B$4:$B$12,$D209)</f>
        <v/>
      </c>
      <c r="J209" s="14">
        <f>$H209*SUMIFS('Forecast Engine'!$AL$4:$AL$12,'Forecast Engine'!$A$4:$A$12,$C209,'Forecast Engine'!$B$4:$B$12,$D209)</f>
        <v/>
      </c>
      <c r="K209" s="14">
        <f>$H209*SUMIFS('Forecast Engine'!$AM$4:$AM$12,'Forecast Engine'!$A$4:$A$12,$C209,'Forecast Engine'!$B$4:$B$12,$D209)</f>
        <v/>
      </c>
      <c r="L209" s="43">
        <f>SUM(I209:K209)</f>
        <v/>
      </c>
    </row>
    <row r="210">
      <c r="A210" s="39" t="inlineStr"/>
      <c r="B210" s="39" t="inlineStr"/>
      <c r="C210" s="40" t="inlineStr">
        <is>
          <t>The Derma Co.</t>
        </is>
      </c>
      <c r="D210" s="40" t="inlineStr">
        <is>
          <t>Face</t>
        </is>
      </c>
      <c r="E210" s="39" t="inlineStr">
        <is>
          <t>D-Mart</t>
        </is>
      </c>
      <c r="F210" s="41" t="inlineStr">
        <is>
          <t>South-1</t>
        </is>
      </c>
      <c r="G210" s="42" t="n">
        <v>0.4351</v>
      </c>
      <c r="H210" s="16">
        <f>IFERROR(G210/SUMIFS($G$4:$G$1504,$C$4:$C$1504,$C210,$D$4:$D$1504,$D210),0)</f>
        <v/>
      </c>
      <c r="I210" s="14">
        <f>$H210*SUMIFS('Forecast Engine'!$AK$4:$AK$12,'Forecast Engine'!$A$4:$A$12,$C210,'Forecast Engine'!$B$4:$B$12,$D210)</f>
        <v/>
      </c>
      <c r="J210" s="14">
        <f>$H210*SUMIFS('Forecast Engine'!$AL$4:$AL$12,'Forecast Engine'!$A$4:$A$12,$C210,'Forecast Engine'!$B$4:$B$12,$D210)</f>
        <v/>
      </c>
      <c r="K210" s="14">
        <f>$H210*SUMIFS('Forecast Engine'!$AM$4:$AM$12,'Forecast Engine'!$A$4:$A$12,$C210,'Forecast Engine'!$B$4:$B$12,$D210)</f>
        <v/>
      </c>
      <c r="L210" s="43">
        <f>SUM(I210:K210)</f>
        <v/>
      </c>
    </row>
    <row r="211">
      <c r="A211" s="39" t="inlineStr">
        <is>
          <t>10200048</t>
        </is>
      </c>
      <c r="B211" s="39" t="inlineStr">
        <is>
          <t>The Derma 1% Salicylic Acid Gel Face Wash</t>
        </is>
      </c>
      <c r="C211" s="40" t="inlineStr">
        <is>
          <t>The Derma Co.</t>
        </is>
      </c>
      <c r="D211" s="40" t="inlineStr">
        <is>
          <t>Face</t>
        </is>
      </c>
      <c r="E211" s="39" t="inlineStr">
        <is>
          <t>D-Mart</t>
        </is>
      </c>
      <c r="F211" s="41" t="inlineStr">
        <is>
          <t>South-2</t>
        </is>
      </c>
      <c r="G211" s="42" t="n">
        <v>0.409</v>
      </c>
      <c r="H211" s="16">
        <f>IFERROR(G211/SUMIFS($G$4:$G$1504,$C$4:$C$1504,$C211,$D$4:$D$1504,$D211),0)</f>
        <v/>
      </c>
      <c r="I211" s="14">
        <f>$H211*SUMIFS('Forecast Engine'!$AK$4:$AK$12,'Forecast Engine'!$A$4:$A$12,$C211,'Forecast Engine'!$B$4:$B$12,$D211)</f>
        <v/>
      </c>
      <c r="J211" s="14">
        <f>$H211*SUMIFS('Forecast Engine'!$AL$4:$AL$12,'Forecast Engine'!$A$4:$A$12,$C211,'Forecast Engine'!$B$4:$B$12,$D211)</f>
        <v/>
      </c>
      <c r="K211" s="14">
        <f>$H211*SUMIFS('Forecast Engine'!$AM$4:$AM$12,'Forecast Engine'!$A$4:$A$12,$C211,'Forecast Engine'!$B$4:$B$12,$D211)</f>
        <v/>
      </c>
      <c r="L211" s="43">
        <f>SUM(I211:K211)</f>
        <v/>
      </c>
    </row>
    <row r="212">
      <c r="A212" s="39" t="inlineStr">
        <is>
          <t>10200214</t>
        </is>
      </c>
      <c r="B212" s="39" t="inlineStr">
        <is>
          <t>1% Hyaluronic Sunscreen Aqua Gel 80g</t>
        </is>
      </c>
      <c r="C212" s="40" t="inlineStr">
        <is>
          <t>The Derma Co.</t>
        </is>
      </c>
      <c r="D212" s="40" t="inlineStr">
        <is>
          <t>Face</t>
        </is>
      </c>
      <c r="E212" s="39" t="inlineStr">
        <is>
          <t>Apollo Healthco</t>
        </is>
      </c>
      <c r="F212" s="41" t="inlineStr">
        <is>
          <t>North</t>
        </is>
      </c>
      <c r="G212" s="42" t="n">
        <v>0.3871</v>
      </c>
      <c r="H212" s="16">
        <f>IFERROR(G212/SUMIFS($G$4:$G$1504,$C$4:$C$1504,$C212,$D$4:$D$1504,$D212),0)</f>
        <v/>
      </c>
      <c r="I212" s="14">
        <f>$H212*SUMIFS('Forecast Engine'!$AK$4:$AK$12,'Forecast Engine'!$A$4:$A$12,$C212,'Forecast Engine'!$B$4:$B$12,$D212)</f>
        <v/>
      </c>
      <c r="J212" s="14">
        <f>$H212*SUMIFS('Forecast Engine'!$AL$4:$AL$12,'Forecast Engine'!$A$4:$A$12,$C212,'Forecast Engine'!$B$4:$B$12,$D212)</f>
        <v/>
      </c>
      <c r="K212" s="14">
        <f>$H212*SUMIFS('Forecast Engine'!$AM$4:$AM$12,'Forecast Engine'!$A$4:$A$12,$C212,'Forecast Engine'!$B$4:$B$12,$D212)</f>
        <v/>
      </c>
      <c r="L212" s="43">
        <f>SUM(I212:K212)</f>
        <v/>
      </c>
    </row>
    <row r="213">
      <c r="A213" s="39" t="inlineStr">
        <is>
          <t>10200051</t>
        </is>
      </c>
      <c r="B213" s="39" t="inlineStr">
        <is>
          <t>1% Hyaluronic Sunscreen Aqua Gel</t>
        </is>
      </c>
      <c r="C213" s="40" t="inlineStr">
        <is>
          <t>The Derma Co.</t>
        </is>
      </c>
      <c r="D213" s="40" t="inlineStr">
        <is>
          <t>Face</t>
        </is>
      </c>
      <c r="E213" s="39" t="inlineStr">
        <is>
          <t>Reliance Retail Limited</t>
        </is>
      </c>
      <c r="F213" s="41" t="inlineStr">
        <is>
          <t>North</t>
        </is>
      </c>
      <c r="G213" s="42" t="n">
        <v>0.3591</v>
      </c>
      <c r="H213" s="16">
        <f>IFERROR(G213/SUMIFS($G$4:$G$1504,$C$4:$C$1504,$C213,$D$4:$D$1504,$D213),0)</f>
        <v/>
      </c>
      <c r="I213" s="14">
        <f>$H213*SUMIFS('Forecast Engine'!$AK$4:$AK$12,'Forecast Engine'!$A$4:$A$12,$C213,'Forecast Engine'!$B$4:$B$12,$D213)</f>
        <v/>
      </c>
      <c r="J213" s="14">
        <f>$H213*SUMIFS('Forecast Engine'!$AL$4:$AL$12,'Forecast Engine'!$A$4:$A$12,$C213,'Forecast Engine'!$B$4:$B$12,$D213)</f>
        <v/>
      </c>
      <c r="K213" s="14">
        <f>$H213*SUMIFS('Forecast Engine'!$AM$4:$AM$12,'Forecast Engine'!$A$4:$A$12,$C213,'Forecast Engine'!$B$4:$B$12,$D213)</f>
        <v/>
      </c>
      <c r="L213" s="43">
        <f>SUM(I213:K213)</f>
        <v/>
      </c>
    </row>
    <row r="214">
      <c r="A214" s="39" t="inlineStr">
        <is>
          <t>10200325</t>
        </is>
      </c>
      <c r="B214" s="39" t="inlineStr">
        <is>
          <t>TDC 2% Sali Cinamide anti-acne face wash 150ml</t>
        </is>
      </c>
      <c r="C214" s="40" t="inlineStr">
        <is>
          <t>The Derma Co.</t>
        </is>
      </c>
      <c r="D214" s="40" t="inlineStr">
        <is>
          <t>Face</t>
        </is>
      </c>
      <c r="E214" s="39" t="inlineStr">
        <is>
          <t>D-Mart</t>
        </is>
      </c>
      <c r="F214" s="41" t="inlineStr">
        <is>
          <t>West</t>
        </is>
      </c>
      <c r="G214" s="42" t="n">
        <v>0.3575</v>
      </c>
      <c r="H214" s="16">
        <f>IFERROR(G214/SUMIFS($G$4:$G$1504,$C$4:$C$1504,$C214,$D$4:$D$1504,$D214),0)</f>
        <v/>
      </c>
      <c r="I214" s="14">
        <f>$H214*SUMIFS('Forecast Engine'!$AK$4:$AK$12,'Forecast Engine'!$A$4:$A$12,$C214,'Forecast Engine'!$B$4:$B$12,$D214)</f>
        <v/>
      </c>
      <c r="J214" s="14">
        <f>$H214*SUMIFS('Forecast Engine'!$AL$4:$AL$12,'Forecast Engine'!$A$4:$A$12,$C214,'Forecast Engine'!$B$4:$B$12,$D214)</f>
        <v/>
      </c>
      <c r="K214" s="14">
        <f>$H214*SUMIFS('Forecast Engine'!$AM$4:$AM$12,'Forecast Engine'!$A$4:$A$12,$C214,'Forecast Engine'!$B$4:$B$12,$D214)</f>
        <v/>
      </c>
      <c r="L214" s="43">
        <f>SUM(I214:K214)</f>
        <v/>
      </c>
    </row>
    <row r="215">
      <c r="A215" s="39" t="inlineStr">
        <is>
          <t>10200214</t>
        </is>
      </c>
      <c r="B215" s="39" t="inlineStr">
        <is>
          <t>1% Hyaluronic Sunscreen Aqua Gel 80g</t>
        </is>
      </c>
      <c r="C215" s="40" t="inlineStr">
        <is>
          <t>The Derma Co.</t>
        </is>
      </c>
      <c r="D215" s="40" t="inlineStr">
        <is>
          <t>Face</t>
        </is>
      </c>
      <c r="E215" s="39" t="inlineStr">
        <is>
          <t>Apollo Healthco</t>
        </is>
      </c>
      <c r="F215" s="41" t="inlineStr">
        <is>
          <t>South-2</t>
        </is>
      </c>
      <c r="G215" s="42" t="n">
        <v>0.3315</v>
      </c>
      <c r="H215" s="16">
        <f>IFERROR(G215/SUMIFS($G$4:$G$1504,$C$4:$C$1504,$C215,$D$4:$D$1504,$D215),0)</f>
        <v/>
      </c>
      <c r="I215" s="14">
        <f>$H215*SUMIFS('Forecast Engine'!$AK$4:$AK$12,'Forecast Engine'!$A$4:$A$12,$C215,'Forecast Engine'!$B$4:$B$12,$D215)</f>
        <v/>
      </c>
      <c r="J215" s="14">
        <f>$H215*SUMIFS('Forecast Engine'!$AL$4:$AL$12,'Forecast Engine'!$A$4:$A$12,$C215,'Forecast Engine'!$B$4:$B$12,$D215)</f>
        <v/>
      </c>
      <c r="K215" s="14">
        <f>$H215*SUMIFS('Forecast Engine'!$AM$4:$AM$12,'Forecast Engine'!$A$4:$A$12,$C215,'Forecast Engine'!$B$4:$B$12,$D215)</f>
        <v/>
      </c>
      <c r="L215" s="43">
        <f>SUM(I215:K215)</f>
        <v/>
      </c>
    </row>
    <row r="216">
      <c r="A216" s="39" t="inlineStr">
        <is>
          <t>10200316</t>
        </is>
      </c>
      <c r="B216" s="39" t="inlineStr">
        <is>
          <t>TDC 1% Hyaluronic Sunscreen Aqua Gel 125g</t>
        </is>
      </c>
      <c r="C216" s="40" t="inlineStr">
        <is>
          <t>The Derma Co.</t>
        </is>
      </c>
      <c r="D216" s="40" t="inlineStr">
        <is>
          <t>Face</t>
        </is>
      </c>
      <c r="E216" s="39" t="inlineStr">
        <is>
          <t>VENKATESHWARA AGENCIES-T</t>
        </is>
      </c>
      <c r="F216" s="41" t="inlineStr">
        <is>
          <t>South-2</t>
        </is>
      </c>
      <c r="G216" s="42" t="n">
        <v>0.3288</v>
      </c>
      <c r="H216" s="16">
        <f>IFERROR(G216/SUMIFS($G$4:$G$1504,$C$4:$C$1504,$C216,$D$4:$D$1504,$D216),0)</f>
        <v/>
      </c>
      <c r="I216" s="14">
        <f>$H216*SUMIFS('Forecast Engine'!$AK$4:$AK$12,'Forecast Engine'!$A$4:$A$12,$C216,'Forecast Engine'!$B$4:$B$12,$D216)</f>
        <v/>
      </c>
      <c r="J216" s="14">
        <f>$H216*SUMIFS('Forecast Engine'!$AL$4:$AL$12,'Forecast Engine'!$A$4:$A$12,$C216,'Forecast Engine'!$B$4:$B$12,$D216)</f>
        <v/>
      </c>
      <c r="K216" s="14">
        <f>$H216*SUMIFS('Forecast Engine'!$AM$4:$AM$12,'Forecast Engine'!$A$4:$A$12,$C216,'Forecast Engine'!$B$4:$B$12,$D216)</f>
        <v/>
      </c>
      <c r="L216" s="43">
        <f>SUM(I216:K216)</f>
        <v/>
      </c>
    </row>
    <row r="217">
      <c r="A217" s="39" t="inlineStr"/>
      <c r="B217" s="39" t="inlineStr"/>
      <c r="C217" s="40" t="inlineStr">
        <is>
          <t>The Derma Co.</t>
        </is>
      </c>
      <c r="D217" s="40" t="inlineStr">
        <is>
          <t>Face</t>
        </is>
      </c>
      <c r="E217" s="39" t="inlineStr">
        <is>
          <t>Nykaa E-Retail Limited</t>
        </is>
      </c>
      <c r="F217" s="41" t="inlineStr">
        <is>
          <t>South-1</t>
        </is>
      </c>
      <c r="G217" s="42" t="n">
        <v>0.3153</v>
      </c>
      <c r="H217" s="16">
        <f>IFERROR(G217/SUMIFS($G$4:$G$1504,$C$4:$C$1504,$C217,$D$4:$D$1504,$D217),0)</f>
        <v/>
      </c>
      <c r="I217" s="14">
        <f>$H217*SUMIFS('Forecast Engine'!$AK$4:$AK$12,'Forecast Engine'!$A$4:$A$12,$C217,'Forecast Engine'!$B$4:$B$12,$D217)</f>
        <v/>
      </c>
      <c r="J217" s="14">
        <f>$H217*SUMIFS('Forecast Engine'!$AL$4:$AL$12,'Forecast Engine'!$A$4:$A$12,$C217,'Forecast Engine'!$B$4:$B$12,$D217)</f>
        <v/>
      </c>
      <c r="K217" s="14">
        <f>$H217*SUMIFS('Forecast Engine'!$AM$4:$AM$12,'Forecast Engine'!$A$4:$A$12,$C217,'Forecast Engine'!$B$4:$B$12,$D217)</f>
        <v/>
      </c>
      <c r="L217" s="43">
        <f>SUM(I217:K217)</f>
        <v/>
      </c>
    </row>
    <row r="218">
      <c r="A218" s="39" t="inlineStr"/>
      <c r="B218" s="39" t="inlineStr"/>
      <c r="C218" s="40" t="inlineStr">
        <is>
          <t>The Derma Co.</t>
        </is>
      </c>
      <c r="D218" s="40" t="inlineStr">
        <is>
          <t>Face</t>
        </is>
      </c>
      <c r="E218" s="39" t="inlineStr">
        <is>
          <t>Nykaa E-Retail Limited</t>
        </is>
      </c>
      <c r="F218" s="41" t="inlineStr">
        <is>
          <t>North</t>
        </is>
      </c>
      <c r="G218" s="42" t="n">
        <v>0.3011</v>
      </c>
      <c r="H218" s="16">
        <f>IFERROR(G218/SUMIFS($G$4:$G$1504,$C$4:$C$1504,$C218,$D$4:$D$1504,$D218),0)</f>
        <v/>
      </c>
      <c r="I218" s="14">
        <f>$H218*SUMIFS('Forecast Engine'!$AK$4:$AK$12,'Forecast Engine'!$A$4:$A$12,$C218,'Forecast Engine'!$B$4:$B$12,$D218)</f>
        <v/>
      </c>
      <c r="J218" s="14">
        <f>$H218*SUMIFS('Forecast Engine'!$AL$4:$AL$12,'Forecast Engine'!$A$4:$A$12,$C218,'Forecast Engine'!$B$4:$B$12,$D218)</f>
        <v/>
      </c>
      <c r="K218" s="14">
        <f>$H218*SUMIFS('Forecast Engine'!$AM$4:$AM$12,'Forecast Engine'!$A$4:$A$12,$C218,'Forecast Engine'!$B$4:$B$12,$D218)</f>
        <v/>
      </c>
      <c r="L218" s="43">
        <f>SUM(I218:K218)</f>
        <v/>
      </c>
    </row>
    <row r="219">
      <c r="A219" s="39" t="inlineStr"/>
      <c r="B219" s="39" t="inlineStr"/>
      <c r="C219" s="40" t="inlineStr">
        <is>
          <t>The Derma Co.</t>
        </is>
      </c>
      <c r="D219" s="40" t="inlineStr">
        <is>
          <t>Face</t>
        </is>
      </c>
      <c r="E219" s="39" t="inlineStr">
        <is>
          <t>M/S KOTTARAM BUSINESS</t>
        </is>
      </c>
      <c r="F219" s="41" t="inlineStr">
        <is>
          <t>South-1</t>
        </is>
      </c>
      <c r="G219" s="42" t="n">
        <v>0.2964</v>
      </c>
      <c r="H219" s="16">
        <f>IFERROR(G219/SUMIFS($G$4:$G$1504,$C$4:$C$1504,$C219,$D$4:$D$1504,$D219),0)</f>
        <v/>
      </c>
      <c r="I219" s="14">
        <f>$H219*SUMIFS('Forecast Engine'!$AK$4:$AK$12,'Forecast Engine'!$A$4:$A$12,$C219,'Forecast Engine'!$B$4:$B$12,$D219)</f>
        <v/>
      </c>
      <c r="J219" s="14">
        <f>$H219*SUMIFS('Forecast Engine'!$AL$4:$AL$12,'Forecast Engine'!$A$4:$A$12,$C219,'Forecast Engine'!$B$4:$B$12,$D219)</f>
        <v/>
      </c>
      <c r="K219" s="14">
        <f>$H219*SUMIFS('Forecast Engine'!$AM$4:$AM$12,'Forecast Engine'!$A$4:$A$12,$C219,'Forecast Engine'!$B$4:$B$12,$D219)</f>
        <v/>
      </c>
      <c r="L219" s="43">
        <f>SUM(I219:K219)</f>
        <v/>
      </c>
    </row>
    <row r="220">
      <c r="A220" s="39" t="inlineStr">
        <is>
          <t>10200325</t>
        </is>
      </c>
      <c r="B220" s="39" t="inlineStr">
        <is>
          <t>TDC 2% Sali Cinamide anti-acne face wash 150ml</t>
        </is>
      </c>
      <c r="C220" s="40" t="inlineStr">
        <is>
          <t>The Derma Co.</t>
        </is>
      </c>
      <c r="D220" s="40" t="inlineStr">
        <is>
          <t>Face</t>
        </is>
      </c>
      <c r="E220" s="39" t="inlineStr">
        <is>
          <t>Apollo Healthco</t>
        </is>
      </c>
      <c r="F220" s="41" t="inlineStr">
        <is>
          <t>North</t>
        </is>
      </c>
      <c r="G220" s="42" t="n">
        <v>0.2962</v>
      </c>
      <c r="H220" s="16">
        <f>IFERROR(G220/SUMIFS($G$4:$G$1504,$C$4:$C$1504,$C220,$D$4:$D$1504,$D220),0)</f>
        <v/>
      </c>
      <c r="I220" s="14">
        <f>$H220*SUMIFS('Forecast Engine'!$AK$4:$AK$12,'Forecast Engine'!$A$4:$A$12,$C220,'Forecast Engine'!$B$4:$B$12,$D220)</f>
        <v/>
      </c>
      <c r="J220" s="14">
        <f>$H220*SUMIFS('Forecast Engine'!$AL$4:$AL$12,'Forecast Engine'!$A$4:$A$12,$C220,'Forecast Engine'!$B$4:$B$12,$D220)</f>
        <v/>
      </c>
      <c r="K220" s="14">
        <f>$H220*SUMIFS('Forecast Engine'!$AM$4:$AM$12,'Forecast Engine'!$A$4:$A$12,$C220,'Forecast Engine'!$B$4:$B$12,$D220)</f>
        <v/>
      </c>
      <c r="L220" s="43">
        <f>SUM(I220:K220)</f>
        <v/>
      </c>
    </row>
    <row r="221">
      <c r="A221" s="39" t="inlineStr"/>
      <c r="B221" s="39" t="inlineStr"/>
      <c r="C221" s="40" t="inlineStr">
        <is>
          <t>The Derma Co.</t>
        </is>
      </c>
      <c r="D221" s="40" t="inlineStr">
        <is>
          <t>Face</t>
        </is>
      </c>
      <c r="E221" s="39" t="inlineStr">
        <is>
          <t xml:space="preserve">Sancus Networks Private </t>
        </is>
      </c>
      <c r="F221" s="41" t="inlineStr">
        <is>
          <t>North</t>
        </is>
      </c>
      <c r="G221" s="42" t="n">
        <v>0.2923</v>
      </c>
      <c r="H221" s="16">
        <f>IFERROR(G221/SUMIFS($G$4:$G$1504,$C$4:$C$1504,$C221,$D$4:$D$1504,$D221),0)</f>
        <v/>
      </c>
      <c r="I221" s="14">
        <f>$H221*SUMIFS('Forecast Engine'!$AK$4:$AK$12,'Forecast Engine'!$A$4:$A$12,$C221,'Forecast Engine'!$B$4:$B$12,$D221)</f>
        <v/>
      </c>
      <c r="J221" s="14">
        <f>$H221*SUMIFS('Forecast Engine'!$AL$4:$AL$12,'Forecast Engine'!$A$4:$A$12,$C221,'Forecast Engine'!$B$4:$B$12,$D221)</f>
        <v/>
      </c>
      <c r="K221" s="14">
        <f>$H221*SUMIFS('Forecast Engine'!$AM$4:$AM$12,'Forecast Engine'!$A$4:$A$12,$C221,'Forecast Engine'!$B$4:$B$12,$D221)</f>
        <v/>
      </c>
      <c r="L221" s="43">
        <f>SUM(I221:K221)</f>
        <v/>
      </c>
    </row>
    <row r="222">
      <c r="A222" s="39" t="inlineStr">
        <is>
          <t>10200325</t>
        </is>
      </c>
      <c r="B222" s="39" t="inlineStr">
        <is>
          <t>TDC 2% Sali Cinamide anti-acne face wash 150ml</t>
        </is>
      </c>
      <c r="C222" s="40" t="inlineStr">
        <is>
          <t>The Derma Co.</t>
        </is>
      </c>
      <c r="D222" s="40" t="inlineStr">
        <is>
          <t>Face</t>
        </is>
      </c>
      <c r="E222" s="39" t="inlineStr">
        <is>
          <t>JUST MARK-Dmart</t>
        </is>
      </c>
      <c r="F222" s="41" t="inlineStr">
        <is>
          <t>West</t>
        </is>
      </c>
      <c r="G222" s="42" t="n">
        <v>0.2748</v>
      </c>
      <c r="H222" s="16">
        <f>IFERROR(G222/SUMIFS($G$4:$G$1504,$C$4:$C$1504,$C222,$D$4:$D$1504,$D222),0)</f>
        <v/>
      </c>
      <c r="I222" s="14">
        <f>$H222*SUMIFS('Forecast Engine'!$AK$4:$AK$12,'Forecast Engine'!$A$4:$A$12,$C222,'Forecast Engine'!$B$4:$B$12,$D222)</f>
        <v/>
      </c>
      <c r="J222" s="14">
        <f>$H222*SUMIFS('Forecast Engine'!$AL$4:$AL$12,'Forecast Engine'!$A$4:$A$12,$C222,'Forecast Engine'!$B$4:$B$12,$D222)</f>
        <v/>
      </c>
      <c r="K222" s="14">
        <f>$H222*SUMIFS('Forecast Engine'!$AM$4:$AM$12,'Forecast Engine'!$A$4:$A$12,$C222,'Forecast Engine'!$B$4:$B$12,$D222)</f>
        <v/>
      </c>
      <c r="L222" s="43">
        <f>SUM(I222:K222)</f>
        <v/>
      </c>
    </row>
    <row r="223">
      <c r="A223" s="39" t="inlineStr">
        <is>
          <t>10200048</t>
        </is>
      </c>
      <c r="B223" s="39" t="inlineStr">
        <is>
          <t>The Derma 1% Salicylic Acid Gel Face Wash</t>
        </is>
      </c>
      <c r="C223" s="40" t="inlineStr">
        <is>
          <t>The Derma Co.</t>
        </is>
      </c>
      <c r="D223" s="40" t="inlineStr">
        <is>
          <t>Face</t>
        </is>
      </c>
      <c r="E223" s="39" t="inlineStr">
        <is>
          <t>Wellness Forever</t>
        </is>
      </c>
      <c r="F223" s="41" t="inlineStr">
        <is>
          <t>West</t>
        </is>
      </c>
      <c r="G223" s="42" t="n">
        <v>0.2648</v>
      </c>
      <c r="H223" s="16">
        <f>IFERROR(G223/SUMIFS($G$4:$G$1504,$C$4:$C$1504,$C223,$D$4:$D$1504,$D223),0)</f>
        <v/>
      </c>
      <c r="I223" s="14">
        <f>$H223*SUMIFS('Forecast Engine'!$AK$4:$AK$12,'Forecast Engine'!$A$4:$A$12,$C223,'Forecast Engine'!$B$4:$B$12,$D223)</f>
        <v/>
      </c>
      <c r="J223" s="14">
        <f>$H223*SUMIFS('Forecast Engine'!$AL$4:$AL$12,'Forecast Engine'!$A$4:$A$12,$C223,'Forecast Engine'!$B$4:$B$12,$D223)</f>
        <v/>
      </c>
      <c r="K223" s="14">
        <f>$H223*SUMIFS('Forecast Engine'!$AM$4:$AM$12,'Forecast Engine'!$A$4:$A$12,$C223,'Forecast Engine'!$B$4:$B$12,$D223)</f>
        <v/>
      </c>
      <c r="L223" s="43">
        <f>SUM(I223:K223)</f>
        <v/>
      </c>
    </row>
    <row r="224">
      <c r="A224" s="39" t="inlineStr">
        <is>
          <t>10200051</t>
        </is>
      </c>
      <c r="B224" s="39" t="inlineStr">
        <is>
          <t>1% Hyaluronic Sunscreen Aqua Gel</t>
        </is>
      </c>
      <c r="C224" s="40" t="inlineStr">
        <is>
          <t>The Derma Co.</t>
        </is>
      </c>
      <c r="D224" s="40" t="inlineStr">
        <is>
          <t>Face</t>
        </is>
      </c>
      <c r="E224" s="39" t="inlineStr">
        <is>
          <t>Reliance Retail Limited</t>
        </is>
      </c>
      <c r="F224" s="41" t="inlineStr">
        <is>
          <t>West</t>
        </is>
      </c>
      <c r="G224" s="42" t="n">
        <v>0.2624</v>
      </c>
      <c r="H224" s="16">
        <f>IFERROR(G224/SUMIFS($G$4:$G$1504,$C$4:$C$1504,$C224,$D$4:$D$1504,$D224),0)</f>
        <v/>
      </c>
      <c r="I224" s="14">
        <f>$H224*SUMIFS('Forecast Engine'!$AK$4:$AK$12,'Forecast Engine'!$A$4:$A$12,$C224,'Forecast Engine'!$B$4:$B$12,$D224)</f>
        <v/>
      </c>
      <c r="J224" s="14">
        <f>$H224*SUMIFS('Forecast Engine'!$AL$4:$AL$12,'Forecast Engine'!$A$4:$A$12,$C224,'Forecast Engine'!$B$4:$B$12,$D224)</f>
        <v/>
      </c>
      <c r="K224" s="14">
        <f>$H224*SUMIFS('Forecast Engine'!$AM$4:$AM$12,'Forecast Engine'!$A$4:$A$12,$C224,'Forecast Engine'!$B$4:$B$12,$D224)</f>
        <v/>
      </c>
      <c r="L224" s="43">
        <f>SUM(I224:K224)</f>
        <v/>
      </c>
    </row>
    <row r="225">
      <c r="A225" s="39" t="inlineStr">
        <is>
          <t>10200214</t>
        </is>
      </c>
      <c r="B225" s="39" t="inlineStr">
        <is>
          <t>1% Hyaluronic Sunscreen Aqua Gel 80g</t>
        </is>
      </c>
      <c r="C225" s="40" t="inlineStr">
        <is>
          <t>The Derma Co.</t>
        </is>
      </c>
      <c r="D225" s="40" t="inlineStr">
        <is>
          <t>Face</t>
        </is>
      </c>
      <c r="E225" s="39" t="inlineStr">
        <is>
          <t>Wellness Forever</t>
        </is>
      </c>
      <c r="F225" s="41" t="inlineStr">
        <is>
          <t>West</t>
        </is>
      </c>
      <c r="G225" s="42" t="n">
        <v>0.2612</v>
      </c>
      <c r="H225" s="16">
        <f>IFERROR(G225/SUMIFS($G$4:$G$1504,$C$4:$C$1504,$C225,$D$4:$D$1504,$D225),0)</f>
        <v/>
      </c>
      <c r="I225" s="14">
        <f>$H225*SUMIFS('Forecast Engine'!$AK$4:$AK$12,'Forecast Engine'!$A$4:$A$12,$C225,'Forecast Engine'!$B$4:$B$12,$D225)</f>
        <v/>
      </c>
      <c r="J225" s="14">
        <f>$H225*SUMIFS('Forecast Engine'!$AL$4:$AL$12,'Forecast Engine'!$A$4:$A$12,$C225,'Forecast Engine'!$B$4:$B$12,$D225)</f>
        <v/>
      </c>
      <c r="K225" s="14">
        <f>$H225*SUMIFS('Forecast Engine'!$AM$4:$AM$12,'Forecast Engine'!$A$4:$A$12,$C225,'Forecast Engine'!$B$4:$B$12,$D225)</f>
        <v/>
      </c>
      <c r="L225" s="43">
        <f>SUM(I225:K225)</f>
        <v/>
      </c>
    </row>
    <row r="226">
      <c r="A226" s="39" t="inlineStr">
        <is>
          <t>10200325</t>
        </is>
      </c>
      <c r="B226" s="39" t="inlineStr">
        <is>
          <t>TDC 2% Sali Cinamide anti-acne face wash 150ml</t>
        </is>
      </c>
      <c r="C226" s="40" t="inlineStr">
        <is>
          <t>The Derma Co.</t>
        </is>
      </c>
      <c r="D226" s="40" t="inlineStr">
        <is>
          <t>Face</t>
        </is>
      </c>
      <c r="E226" s="39" t="inlineStr">
        <is>
          <t>Reliance Retail Limited</t>
        </is>
      </c>
      <c r="F226" s="41" t="inlineStr">
        <is>
          <t>West</t>
        </is>
      </c>
      <c r="G226" s="42" t="n">
        <v>0.2599</v>
      </c>
      <c r="H226" s="16">
        <f>IFERROR(G226/SUMIFS($G$4:$G$1504,$C$4:$C$1504,$C226,$D$4:$D$1504,$D226),0)</f>
        <v/>
      </c>
      <c r="I226" s="14">
        <f>$H226*SUMIFS('Forecast Engine'!$AK$4:$AK$12,'Forecast Engine'!$A$4:$A$12,$C226,'Forecast Engine'!$B$4:$B$12,$D226)</f>
        <v/>
      </c>
      <c r="J226" s="14">
        <f>$H226*SUMIFS('Forecast Engine'!$AL$4:$AL$12,'Forecast Engine'!$A$4:$A$12,$C226,'Forecast Engine'!$B$4:$B$12,$D226)</f>
        <v/>
      </c>
      <c r="K226" s="14">
        <f>$H226*SUMIFS('Forecast Engine'!$AM$4:$AM$12,'Forecast Engine'!$A$4:$A$12,$C226,'Forecast Engine'!$B$4:$B$12,$D226)</f>
        <v/>
      </c>
      <c r="L226" s="43">
        <f>SUM(I226:K226)</f>
        <v/>
      </c>
    </row>
    <row r="227">
      <c r="A227" s="39" t="inlineStr">
        <is>
          <t>10200214</t>
        </is>
      </c>
      <c r="B227" s="39" t="inlineStr">
        <is>
          <t>1% Hyaluronic Sunscreen Aqua Gel 80g</t>
        </is>
      </c>
      <c r="C227" s="40" t="inlineStr">
        <is>
          <t>The Derma Co.</t>
        </is>
      </c>
      <c r="D227" s="40" t="inlineStr">
        <is>
          <t>Face</t>
        </is>
      </c>
      <c r="E227" s="39" t="inlineStr">
        <is>
          <t>Apollo Healthco</t>
        </is>
      </c>
      <c r="F227" s="41" t="inlineStr">
        <is>
          <t>West</t>
        </is>
      </c>
      <c r="G227" s="42" t="n">
        <v>0.257</v>
      </c>
      <c r="H227" s="16">
        <f>IFERROR(G227/SUMIFS($G$4:$G$1504,$C$4:$C$1504,$C227,$D$4:$D$1504,$D227),0)</f>
        <v/>
      </c>
      <c r="I227" s="14">
        <f>$H227*SUMIFS('Forecast Engine'!$AK$4:$AK$12,'Forecast Engine'!$A$4:$A$12,$C227,'Forecast Engine'!$B$4:$B$12,$D227)</f>
        <v/>
      </c>
      <c r="J227" s="14">
        <f>$H227*SUMIFS('Forecast Engine'!$AL$4:$AL$12,'Forecast Engine'!$A$4:$A$12,$C227,'Forecast Engine'!$B$4:$B$12,$D227)</f>
        <v/>
      </c>
      <c r="K227" s="14">
        <f>$H227*SUMIFS('Forecast Engine'!$AM$4:$AM$12,'Forecast Engine'!$A$4:$A$12,$C227,'Forecast Engine'!$B$4:$B$12,$D227)</f>
        <v/>
      </c>
      <c r="L227" s="43">
        <f>SUM(I227:K227)</f>
        <v/>
      </c>
    </row>
    <row r="228">
      <c r="A228" s="39" t="inlineStr"/>
      <c r="B228" s="39" t="inlineStr"/>
      <c r="C228" s="40" t="inlineStr">
        <is>
          <t>The Derma Co.</t>
        </is>
      </c>
      <c r="D228" s="40" t="inlineStr">
        <is>
          <t>Face</t>
        </is>
      </c>
      <c r="E228" s="39" t="inlineStr">
        <is>
          <t>Eremedium Private Limite</t>
        </is>
      </c>
      <c r="F228" s="41" t="inlineStr">
        <is>
          <t>West</t>
        </is>
      </c>
      <c r="G228" s="42" t="n">
        <v>0.2564</v>
      </c>
      <c r="H228" s="16">
        <f>IFERROR(G228/SUMIFS($G$4:$G$1504,$C$4:$C$1504,$C228,$D$4:$D$1504,$D228),0)</f>
        <v/>
      </c>
      <c r="I228" s="14">
        <f>$H228*SUMIFS('Forecast Engine'!$AK$4:$AK$12,'Forecast Engine'!$A$4:$A$12,$C228,'Forecast Engine'!$B$4:$B$12,$D228)</f>
        <v/>
      </c>
      <c r="J228" s="14">
        <f>$H228*SUMIFS('Forecast Engine'!$AL$4:$AL$12,'Forecast Engine'!$A$4:$A$12,$C228,'Forecast Engine'!$B$4:$B$12,$D228)</f>
        <v/>
      </c>
      <c r="K228" s="14">
        <f>$H228*SUMIFS('Forecast Engine'!$AM$4:$AM$12,'Forecast Engine'!$A$4:$A$12,$C228,'Forecast Engine'!$B$4:$B$12,$D228)</f>
        <v/>
      </c>
      <c r="L228" s="43">
        <f>SUM(I228:K228)</f>
        <v/>
      </c>
    </row>
    <row r="229">
      <c r="A229" s="39" t="inlineStr">
        <is>
          <t>10200219</t>
        </is>
      </c>
      <c r="B229" s="39" t="inlineStr">
        <is>
          <t>1% Kojic Acid Daily Face Wash</t>
        </is>
      </c>
      <c r="C229" s="40" t="inlineStr">
        <is>
          <t>The Derma Co.</t>
        </is>
      </c>
      <c r="D229" s="40" t="inlineStr">
        <is>
          <t>Face</t>
        </is>
      </c>
      <c r="E229" s="39" t="inlineStr">
        <is>
          <t>D-Mart</t>
        </is>
      </c>
      <c r="F229" s="41" t="inlineStr">
        <is>
          <t>North</t>
        </is>
      </c>
      <c r="G229" s="42" t="n">
        <v>0.2529</v>
      </c>
      <c r="H229" s="16">
        <f>IFERROR(G229/SUMIFS($G$4:$G$1504,$C$4:$C$1504,$C229,$D$4:$D$1504,$D229),0)</f>
        <v/>
      </c>
      <c r="I229" s="14">
        <f>$H229*SUMIFS('Forecast Engine'!$AK$4:$AK$12,'Forecast Engine'!$A$4:$A$12,$C229,'Forecast Engine'!$B$4:$B$12,$D229)</f>
        <v/>
      </c>
      <c r="J229" s="14">
        <f>$H229*SUMIFS('Forecast Engine'!$AL$4:$AL$12,'Forecast Engine'!$A$4:$A$12,$C229,'Forecast Engine'!$B$4:$B$12,$D229)</f>
        <v/>
      </c>
      <c r="K229" s="14">
        <f>$H229*SUMIFS('Forecast Engine'!$AM$4:$AM$12,'Forecast Engine'!$A$4:$A$12,$C229,'Forecast Engine'!$B$4:$B$12,$D229)</f>
        <v/>
      </c>
      <c r="L229" s="43">
        <f>SUM(I229:K229)</f>
        <v/>
      </c>
    </row>
    <row r="230">
      <c r="A230" s="39" t="inlineStr">
        <is>
          <t>(various)</t>
        </is>
      </c>
      <c r="B230" s="39" t="inlineStr">
        <is>
          <t>Long-tail articles &amp; chains (residual)</t>
        </is>
      </c>
      <c r="C230" s="40" t="inlineStr">
        <is>
          <t>The Derma Co.</t>
        </is>
      </c>
      <c r="D230" s="40" t="inlineStr">
        <is>
          <t>Face</t>
        </is>
      </c>
      <c r="E230" s="39" t="inlineStr">
        <is>
          <t>(all other chains)</t>
        </is>
      </c>
      <c r="F230" s="41" t="inlineStr">
        <is>
          <t>(mixed)</t>
        </is>
      </c>
      <c r="G230" s="42" t="n">
        <v>25.4964</v>
      </c>
      <c r="H230" s="16">
        <f>IFERROR(G230/SUMIFS($G$4:$G$1504,$C$4:$C$1504,$C230,$D$4:$D$1504,$D230),0)</f>
        <v/>
      </c>
      <c r="I230" s="14">
        <f>$H230*SUMIFS('Forecast Engine'!$AK$4:$AK$12,'Forecast Engine'!$A$4:$A$12,$C230,'Forecast Engine'!$B$4:$B$12,$D230)</f>
        <v/>
      </c>
      <c r="J230" s="14">
        <f>$H230*SUMIFS('Forecast Engine'!$AL$4:$AL$12,'Forecast Engine'!$A$4:$A$12,$C230,'Forecast Engine'!$B$4:$B$12,$D230)</f>
        <v/>
      </c>
      <c r="K230" s="14">
        <f>$H230*SUMIFS('Forecast Engine'!$AM$4:$AM$12,'Forecast Engine'!$A$4:$A$12,$C230,'Forecast Engine'!$B$4:$B$12,$D230)</f>
        <v/>
      </c>
      <c r="L230" s="43">
        <f>SUM(I230:K230)</f>
        <v/>
      </c>
    </row>
    <row r="231">
      <c r="A231" s="39" t="inlineStr"/>
      <c r="B231" s="39" t="inlineStr"/>
      <c r="C231" s="40" t="inlineStr">
        <is>
          <t>Mamaearth</t>
        </is>
      </c>
      <c r="D231" s="40" t="inlineStr">
        <is>
          <t>Body</t>
        </is>
      </c>
      <c r="E231" s="39" t="inlineStr">
        <is>
          <t>Apollo Healthco</t>
        </is>
      </c>
      <c r="F231" s="41" t="inlineStr">
        <is>
          <t>South-1</t>
        </is>
      </c>
      <c r="G231" s="42" t="n">
        <v>0.6656</v>
      </c>
      <c r="H231" s="16">
        <f>IFERROR(G231/SUMIFS($G$4:$G$1504,$C$4:$C$1504,$C231,$D$4:$D$1504,$D231),0)</f>
        <v/>
      </c>
      <c r="I231" s="14">
        <f>$H231*SUMIFS('Forecast Engine'!$AK$4:$AK$12,'Forecast Engine'!$A$4:$A$12,$C231,'Forecast Engine'!$B$4:$B$12,$D231)</f>
        <v/>
      </c>
      <c r="J231" s="14">
        <f>$H231*SUMIFS('Forecast Engine'!$AL$4:$AL$12,'Forecast Engine'!$A$4:$A$12,$C231,'Forecast Engine'!$B$4:$B$12,$D231)</f>
        <v/>
      </c>
      <c r="K231" s="14">
        <f>$H231*SUMIFS('Forecast Engine'!$AM$4:$AM$12,'Forecast Engine'!$A$4:$A$12,$C231,'Forecast Engine'!$B$4:$B$12,$D231)</f>
        <v/>
      </c>
      <c r="L231" s="43">
        <f>SUM(I231:K231)</f>
        <v/>
      </c>
    </row>
    <row r="232">
      <c r="A232" s="39" t="inlineStr"/>
      <c r="B232" s="39" t="inlineStr"/>
      <c r="C232" s="40" t="inlineStr">
        <is>
          <t>Mamaearth</t>
        </is>
      </c>
      <c r="D232" s="40" t="inlineStr">
        <is>
          <t>Body</t>
        </is>
      </c>
      <c r="E232" s="39" t="inlineStr">
        <is>
          <t>D-Mart</t>
        </is>
      </c>
      <c r="F232" s="41" t="inlineStr">
        <is>
          <t>South-1</t>
        </is>
      </c>
      <c r="G232" s="42" t="n">
        <v>0.5928</v>
      </c>
      <c r="H232" s="16">
        <f>IFERROR(G232/SUMIFS($G$4:$G$1504,$C$4:$C$1504,$C232,$D$4:$D$1504,$D232),0)</f>
        <v/>
      </c>
      <c r="I232" s="14">
        <f>$H232*SUMIFS('Forecast Engine'!$AK$4:$AK$12,'Forecast Engine'!$A$4:$A$12,$C232,'Forecast Engine'!$B$4:$B$12,$D232)</f>
        <v/>
      </c>
      <c r="J232" s="14">
        <f>$H232*SUMIFS('Forecast Engine'!$AL$4:$AL$12,'Forecast Engine'!$A$4:$A$12,$C232,'Forecast Engine'!$B$4:$B$12,$D232)</f>
        <v/>
      </c>
      <c r="K232" s="14">
        <f>$H232*SUMIFS('Forecast Engine'!$AM$4:$AM$12,'Forecast Engine'!$A$4:$A$12,$C232,'Forecast Engine'!$B$4:$B$12,$D232)</f>
        <v/>
      </c>
      <c r="L232" s="43">
        <f>SUM(I232:K232)</f>
        <v/>
      </c>
    </row>
    <row r="233">
      <c r="A233" s="39" t="inlineStr">
        <is>
          <t>10101276</t>
        </is>
      </c>
      <c r="B233" s="39" t="inlineStr">
        <is>
          <t>Rice Water Hydrating Body Lotion 400 ml</t>
        </is>
      </c>
      <c r="C233" s="40" t="inlineStr">
        <is>
          <t>Mamaearth</t>
        </is>
      </c>
      <c r="D233" s="40" t="inlineStr">
        <is>
          <t>Body</t>
        </is>
      </c>
      <c r="E233" s="39" t="inlineStr">
        <is>
          <t>D-Mart</t>
        </is>
      </c>
      <c r="F233" s="41" t="inlineStr">
        <is>
          <t>South-1</t>
        </is>
      </c>
      <c r="G233" s="42" t="n">
        <v>0.5818</v>
      </c>
      <c r="H233" s="16">
        <f>IFERROR(G233/SUMIFS($G$4:$G$1504,$C$4:$C$1504,$C233,$D$4:$D$1504,$D233),0)</f>
        <v/>
      </c>
      <c r="I233" s="14">
        <f>$H233*SUMIFS('Forecast Engine'!$AK$4:$AK$12,'Forecast Engine'!$A$4:$A$12,$C233,'Forecast Engine'!$B$4:$B$12,$D233)</f>
        <v/>
      </c>
      <c r="J233" s="14">
        <f>$H233*SUMIFS('Forecast Engine'!$AL$4:$AL$12,'Forecast Engine'!$A$4:$A$12,$C233,'Forecast Engine'!$B$4:$B$12,$D233)</f>
        <v/>
      </c>
      <c r="K233" s="14">
        <f>$H233*SUMIFS('Forecast Engine'!$AM$4:$AM$12,'Forecast Engine'!$A$4:$A$12,$C233,'Forecast Engine'!$B$4:$B$12,$D233)</f>
        <v/>
      </c>
      <c r="L233" s="43">
        <f>SUM(I233:K233)</f>
        <v/>
      </c>
    </row>
    <row r="234">
      <c r="A234" s="39" t="inlineStr">
        <is>
          <t>10101274</t>
        </is>
      </c>
      <c r="B234" s="39" t="inlineStr">
        <is>
          <t>Vitamin C Daily Glow Body Lotion 400 ml</t>
        </is>
      </c>
      <c r="C234" s="40" t="inlineStr">
        <is>
          <t>Mamaearth</t>
        </is>
      </c>
      <c r="D234" s="40" t="inlineStr">
        <is>
          <t>Body</t>
        </is>
      </c>
      <c r="E234" s="39" t="inlineStr">
        <is>
          <t>D-Mart</t>
        </is>
      </c>
      <c r="F234" s="41" t="inlineStr">
        <is>
          <t>North</t>
        </is>
      </c>
      <c r="G234" s="42" t="n">
        <v>0.5789</v>
      </c>
      <c r="H234" s="16">
        <f>IFERROR(G234/SUMIFS($G$4:$G$1504,$C$4:$C$1504,$C234,$D$4:$D$1504,$D234),0)</f>
        <v/>
      </c>
      <c r="I234" s="14">
        <f>$H234*SUMIFS('Forecast Engine'!$AK$4:$AK$12,'Forecast Engine'!$A$4:$A$12,$C234,'Forecast Engine'!$B$4:$B$12,$D234)</f>
        <v/>
      </c>
      <c r="J234" s="14">
        <f>$H234*SUMIFS('Forecast Engine'!$AL$4:$AL$12,'Forecast Engine'!$A$4:$A$12,$C234,'Forecast Engine'!$B$4:$B$12,$D234)</f>
        <v/>
      </c>
      <c r="K234" s="14">
        <f>$H234*SUMIFS('Forecast Engine'!$AM$4:$AM$12,'Forecast Engine'!$A$4:$A$12,$C234,'Forecast Engine'!$B$4:$B$12,$D234)</f>
        <v/>
      </c>
      <c r="L234" s="43">
        <f>SUM(I234:K234)</f>
        <v/>
      </c>
    </row>
    <row r="235">
      <c r="A235" s="39" t="inlineStr"/>
      <c r="B235" s="39" t="inlineStr"/>
      <c r="C235" s="40" t="inlineStr">
        <is>
          <t>Mamaearth</t>
        </is>
      </c>
      <c r="D235" s="40" t="inlineStr">
        <is>
          <t>Body</t>
        </is>
      </c>
      <c r="E235" s="39" t="inlineStr">
        <is>
          <t>Reliance Retail Limited</t>
        </is>
      </c>
      <c r="F235" s="41" t="inlineStr">
        <is>
          <t>North</t>
        </is>
      </c>
      <c r="G235" s="42" t="n">
        <v>0.5373</v>
      </c>
      <c r="H235" s="16">
        <f>IFERROR(G235/SUMIFS($G$4:$G$1504,$C$4:$C$1504,$C235,$D$4:$D$1504,$D235),0)</f>
        <v/>
      </c>
      <c r="I235" s="14">
        <f>$H235*SUMIFS('Forecast Engine'!$AK$4:$AK$12,'Forecast Engine'!$A$4:$A$12,$C235,'Forecast Engine'!$B$4:$B$12,$D235)</f>
        <v/>
      </c>
      <c r="J235" s="14">
        <f>$H235*SUMIFS('Forecast Engine'!$AL$4:$AL$12,'Forecast Engine'!$A$4:$A$12,$C235,'Forecast Engine'!$B$4:$B$12,$D235)</f>
        <v/>
      </c>
      <c r="K235" s="14">
        <f>$H235*SUMIFS('Forecast Engine'!$AM$4:$AM$12,'Forecast Engine'!$A$4:$A$12,$C235,'Forecast Engine'!$B$4:$B$12,$D235)</f>
        <v/>
      </c>
      <c r="L235" s="43">
        <f>SUM(I235:K235)</f>
        <v/>
      </c>
    </row>
    <row r="236">
      <c r="A236" s="39" t="inlineStr"/>
      <c r="B236" s="39" t="inlineStr"/>
      <c r="C236" s="40" t="inlineStr">
        <is>
          <t>Mamaearth</t>
        </is>
      </c>
      <c r="D236" s="40" t="inlineStr">
        <is>
          <t>Body</t>
        </is>
      </c>
      <c r="E236" s="39" t="inlineStr">
        <is>
          <t>Apollo Healthco</t>
        </is>
      </c>
      <c r="F236" s="41" t="inlineStr">
        <is>
          <t>North</t>
        </is>
      </c>
      <c r="G236" s="42" t="n">
        <v>0.4358</v>
      </c>
      <c r="H236" s="16">
        <f>IFERROR(G236/SUMIFS($G$4:$G$1504,$C$4:$C$1504,$C236,$D$4:$D$1504,$D236),0)</f>
        <v/>
      </c>
      <c r="I236" s="14">
        <f>$H236*SUMIFS('Forecast Engine'!$AK$4:$AK$12,'Forecast Engine'!$A$4:$A$12,$C236,'Forecast Engine'!$B$4:$B$12,$D236)</f>
        <v/>
      </c>
      <c r="J236" s="14">
        <f>$H236*SUMIFS('Forecast Engine'!$AL$4:$AL$12,'Forecast Engine'!$A$4:$A$12,$C236,'Forecast Engine'!$B$4:$B$12,$D236)</f>
        <v/>
      </c>
      <c r="K236" s="14">
        <f>$H236*SUMIFS('Forecast Engine'!$AM$4:$AM$12,'Forecast Engine'!$A$4:$A$12,$C236,'Forecast Engine'!$B$4:$B$12,$D236)</f>
        <v/>
      </c>
      <c r="L236" s="43">
        <f>SUM(I236:K236)</f>
        <v/>
      </c>
    </row>
    <row r="237">
      <c r="A237" s="39" t="inlineStr">
        <is>
          <t>10101276</t>
        </is>
      </c>
      <c r="B237" s="39" t="inlineStr">
        <is>
          <t>Rice Water Hydrating Body Lotion 400 ml</t>
        </is>
      </c>
      <c r="C237" s="40" t="inlineStr">
        <is>
          <t>Mamaearth</t>
        </is>
      </c>
      <c r="D237" s="40" t="inlineStr">
        <is>
          <t>Body</t>
        </is>
      </c>
      <c r="E237" s="39" t="inlineStr">
        <is>
          <t>Reliance Retail Limited</t>
        </is>
      </c>
      <c r="F237" s="41" t="inlineStr">
        <is>
          <t>North</t>
        </is>
      </c>
      <c r="G237" s="42" t="n">
        <v>0.4266</v>
      </c>
      <c r="H237" s="16">
        <f>IFERROR(G237/SUMIFS($G$4:$G$1504,$C$4:$C$1504,$C237,$D$4:$D$1504,$D237),0)</f>
        <v/>
      </c>
      <c r="I237" s="14">
        <f>$H237*SUMIFS('Forecast Engine'!$AK$4:$AK$12,'Forecast Engine'!$A$4:$A$12,$C237,'Forecast Engine'!$B$4:$B$12,$D237)</f>
        <v/>
      </c>
      <c r="J237" s="14">
        <f>$H237*SUMIFS('Forecast Engine'!$AL$4:$AL$12,'Forecast Engine'!$A$4:$A$12,$C237,'Forecast Engine'!$B$4:$B$12,$D237)</f>
        <v/>
      </c>
      <c r="K237" s="14">
        <f>$H237*SUMIFS('Forecast Engine'!$AM$4:$AM$12,'Forecast Engine'!$A$4:$A$12,$C237,'Forecast Engine'!$B$4:$B$12,$D237)</f>
        <v/>
      </c>
      <c r="L237" s="43">
        <f>SUM(I237:K237)</f>
        <v/>
      </c>
    </row>
    <row r="238">
      <c r="A238" s="39" t="inlineStr"/>
      <c r="B238" s="39" t="inlineStr"/>
      <c r="C238" s="40" t="inlineStr">
        <is>
          <t>Mamaearth</t>
        </is>
      </c>
      <c r="D238" s="40" t="inlineStr">
        <is>
          <t>Body</t>
        </is>
      </c>
      <c r="E238" s="39" t="inlineStr">
        <is>
          <t>D-Mart</t>
        </is>
      </c>
      <c r="F238" s="41" t="inlineStr">
        <is>
          <t>North</t>
        </is>
      </c>
      <c r="G238" s="42" t="n">
        <v>0.4254</v>
      </c>
      <c r="H238" s="16">
        <f>IFERROR(G238/SUMIFS($G$4:$G$1504,$C$4:$C$1504,$C238,$D$4:$D$1504,$D238),0)</f>
        <v/>
      </c>
      <c r="I238" s="14">
        <f>$H238*SUMIFS('Forecast Engine'!$AK$4:$AK$12,'Forecast Engine'!$A$4:$A$12,$C238,'Forecast Engine'!$B$4:$B$12,$D238)</f>
        <v/>
      </c>
      <c r="J238" s="14">
        <f>$H238*SUMIFS('Forecast Engine'!$AL$4:$AL$12,'Forecast Engine'!$A$4:$A$12,$C238,'Forecast Engine'!$B$4:$B$12,$D238)</f>
        <v/>
      </c>
      <c r="K238" s="14">
        <f>$H238*SUMIFS('Forecast Engine'!$AM$4:$AM$12,'Forecast Engine'!$A$4:$A$12,$C238,'Forecast Engine'!$B$4:$B$12,$D238)</f>
        <v/>
      </c>
      <c r="L238" s="43">
        <f>SUM(I238:K238)</f>
        <v/>
      </c>
    </row>
    <row r="239">
      <c r="A239" s="39" t="inlineStr">
        <is>
          <t>10101275</t>
        </is>
      </c>
      <c r="B239" s="39" t="inlineStr">
        <is>
          <t>Ubtan Moisturizing Body Lotion 400 ml</t>
        </is>
      </c>
      <c r="C239" s="40" t="inlineStr">
        <is>
          <t>Mamaearth</t>
        </is>
      </c>
      <c r="D239" s="40" t="inlineStr">
        <is>
          <t>Body</t>
        </is>
      </c>
      <c r="E239" s="39" t="inlineStr">
        <is>
          <t>Reliance Retail Limited</t>
        </is>
      </c>
      <c r="F239" s="41" t="inlineStr">
        <is>
          <t>North</t>
        </is>
      </c>
      <c r="G239" s="42" t="n">
        <v>0.4058</v>
      </c>
      <c r="H239" s="16">
        <f>IFERROR(G239/SUMIFS($G$4:$G$1504,$C$4:$C$1504,$C239,$D$4:$D$1504,$D239),0)</f>
        <v/>
      </c>
      <c r="I239" s="14">
        <f>$H239*SUMIFS('Forecast Engine'!$AK$4:$AK$12,'Forecast Engine'!$A$4:$A$12,$C239,'Forecast Engine'!$B$4:$B$12,$D239)</f>
        <v/>
      </c>
      <c r="J239" s="14">
        <f>$H239*SUMIFS('Forecast Engine'!$AL$4:$AL$12,'Forecast Engine'!$A$4:$A$12,$C239,'Forecast Engine'!$B$4:$B$12,$D239)</f>
        <v/>
      </c>
      <c r="K239" s="14">
        <f>$H239*SUMIFS('Forecast Engine'!$AM$4:$AM$12,'Forecast Engine'!$A$4:$A$12,$C239,'Forecast Engine'!$B$4:$B$12,$D239)</f>
        <v/>
      </c>
      <c r="L239" s="43">
        <f>SUM(I239:K239)</f>
        <v/>
      </c>
    </row>
    <row r="240">
      <c r="A240" s="39" t="inlineStr">
        <is>
          <t>10101275</t>
        </is>
      </c>
      <c r="B240" s="39" t="inlineStr">
        <is>
          <t>Ubtan Moisturizing Body Lotion 400 ml</t>
        </is>
      </c>
      <c r="C240" s="40" t="inlineStr">
        <is>
          <t>Mamaearth</t>
        </is>
      </c>
      <c r="D240" s="40" t="inlineStr">
        <is>
          <t>Body</t>
        </is>
      </c>
      <c r="E240" s="39" t="inlineStr">
        <is>
          <t>D-Mart</t>
        </is>
      </c>
      <c r="F240" s="41" t="inlineStr">
        <is>
          <t>North</t>
        </is>
      </c>
      <c r="G240" s="42" t="n">
        <v>0.396</v>
      </c>
      <c r="H240" s="16">
        <f>IFERROR(G240/SUMIFS($G$4:$G$1504,$C$4:$C$1504,$C240,$D$4:$D$1504,$D240),0)</f>
        <v/>
      </c>
      <c r="I240" s="14">
        <f>$H240*SUMIFS('Forecast Engine'!$AK$4:$AK$12,'Forecast Engine'!$A$4:$A$12,$C240,'Forecast Engine'!$B$4:$B$12,$D240)</f>
        <v/>
      </c>
      <c r="J240" s="14">
        <f>$H240*SUMIFS('Forecast Engine'!$AL$4:$AL$12,'Forecast Engine'!$A$4:$A$12,$C240,'Forecast Engine'!$B$4:$B$12,$D240)</f>
        <v/>
      </c>
      <c r="K240" s="14">
        <f>$H240*SUMIFS('Forecast Engine'!$AM$4:$AM$12,'Forecast Engine'!$A$4:$A$12,$C240,'Forecast Engine'!$B$4:$B$12,$D240)</f>
        <v/>
      </c>
      <c r="L240" s="43">
        <f>SUM(I240:K240)</f>
        <v/>
      </c>
    </row>
    <row r="241">
      <c r="A241" s="39" t="inlineStr">
        <is>
          <t>10101276</t>
        </is>
      </c>
      <c r="B241" s="39" t="inlineStr">
        <is>
          <t>Rice Water Hydrating Body Lotion 400 ml</t>
        </is>
      </c>
      <c r="C241" s="40" t="inlineStr">
        <is>
          <t>Mamaearth</t>
        </is>
      </c>
      <c r="D241" s="40" t="inlineStr">
        <is>
          <t>Body</t>
        </is>
      </c>
      <c r="E241" s="39" t="inlineStr">
        <is>
          <t>D-Mart</t>
        </is>
      </c>
      <c r="F241" s="41" t="inlineStr">
        <is>
          <t>North</t>
        </is>
      </c>
      <c r="G241" s="42" t="n">
        <v>0.3908</v>
      </c>
      <c r="H241" s="16">
        <f>IFERROR(G241/SUMIFS($G$4:$G$1504,$C$4:$C$1504,$C241,$D$4:$D$1504,$D241),0)</f>
        <v/>
      </c>
      <c r="I241" s="14">
        <f>$H241*SUMIFS('Forecast Engine'!$AK$4:$AK$12,'Forecast Engine'!$A$4:$A$12,$C241,'Forecast Engine'!$B$4:$B$12,$D241)</f>
        <v/>
      </c>
      <c r="J241" s="14">
        <f>$H241*SUMIFS('Forecast Engine'!$AL$4:$AL$12,'Forecast Engine'!$A$4:$A$12,$C241,'Forecast Engine'!$B$4:$B$12,$D241)</f>
        <v/>
      </c>
      <c r="K241" s="14">
        <f>$H241*SUMIFS('Forecast Engine'!$AM$4:$AM$12,'Forecast Engine'!$A$4:$A$12,$C241,'Forecast Engine'!$B$4:$B$12,$D241)</f>
        <v/>
      </c>
      <c r="L241" s="43">
        <f>SUM(I241:K241)</f>
        <v/>
      </c>
    </row>
    <row r="242">
      <c r="A242" s="39" t="inlineStr"/>
      <c r="B242" s="39" t="inlineStr"/>
      <c r="C242" s="40" t="inlineStr">
        <is>
          <t>Mamaearth</t>
        </is>
      </c>
      <c r="D242" s="40" t="inlineStr">
        <is>
          <t>Body</t>
        </is>
      </c>
      <c r="E242" s="39" t="inlineStr">
        <is>
          <t>Vanaja Agencies</t>
        </is>
      </c>
      <c r="F242" s="41" t="inlineStr">
        <is>
          <t>South-2</t>
        </is>
      </c>
      <c r="G242" s="42" t="n">
        <v>0.3702</v>
      </c>
      <c r="H242" s="16">
        <f>IFERROR(G242/SUMIFS($G$4:$G$1504,$C$4:$C$1504,$C242,$D$4:$D$1504,$D242),0)</f>
        <v/>
      </c>
      <c r="I242" s="14">
        <f>$H242*SUMIFS('Forecast Engine'!$AK$4:$AK$12,'Forecast Engine'!$A$4:$A$12,$C242,'Forecast Engine'!$B$4:$B$12,$D242)</f>
        <v/>
      </c>
      <c r="J242" s="14">
        <f>$H242*SUMIFS('Forecast Engine'!$AL$4:$AL$12,'Forecast Engine'!$A$4:$A$12,$C242,'Forecast Engine'!$B$4:$B$12,$D242)</f>
        <v/>
      </c>
      <c r="K242" s="14">
        <f>$H242*SUMIFS('Forecast Engine'!$AM$4:$AM$12,'Forecast Engine'!$A$4:$A$12,$C242,'Forecast Engine'!$B$4:$B$12,$D242)</f>
        <v/>
      </c>
      <c r="L242" s="43">
        <f>SUM(I242:K242)</f>
        <v/>
      </c>
    </row>
    <row r="243">
      <c r="A243" s="39" t="inlineStr"/>
      <c r="B243" s="39" t="inlineStr"/>
      <c r="C243" s="40" t="inlineStr">
        <is>
          <t>Mamaearth</t>
        </is>
      </c>
      <c r="D243" s="40" t="inlineStr">
        <is>
          <t>Body</t>
        </is>
      </c>
      <c r="E243" s="39" t="inlineStr">
        <is>
          <t>Reliance Retail Limited</t>
        </is>
      </c>
      <c r="F243" s="41" t="inlineStr">
        <is>
          <t>West</t>
        </is>
      </c>
      <c r="G243" s="42" t="n">
        <v>0.3624</v>
      </c>
      <c r="H243" s="16">
        <f>IFERROR(G243/SUMIFS($G$4:$G$1504,$C$4:$C$1504,$C243,$D$4:$D$1504,$D243),0)</f>
        <v/>
      </c>
      <c r="I243" s="14">
        <f>$H243*SUMIFS('Forecast Engine'!$AK$4:$AK$12,'Forecast Engine'!$A$4:$A$12,$C243,'Forecast Engine'!$B$4:$B$12,$D243)</f>
        <v/>
      </c>
      <c r="J243" s="14">
        <f>$H243*SUMIFS('Forecast Engine'!$AL$4:$AL$12,'Forecast Engine'!$A$4:$A$12,$C243,'Forecast Engine'!$B$4:$B$12,$D243)</f>
        <v/>
      </c>
      <c r="K243" s="14">
        <f>$H243*SUMIFS('Forecast Engine'!$AM$4:$AM$12,'Forecast Engine'!$A$4:$A$12,$C243,'Forecast Engine'!$B$4:$B$12,$D243)</f>
        <v/>
      </c>
      <c r="L243" s="43">
        <f>SUM(I243:K243)</f>
        <v/>
      </c>
    </row>
    <row r="244">
      <c r="A244" s="39" t="inlineStr"/>
      <c r="B244" s="39" t="inlineStr"/>
      <c r="C244" s="40" t="inlineStr">
        <is>
          <t>Mamaearth</t>
        </is>
      </c>
      <c r="D244" s="40" t="inlineStr">
        <is>
          <t>Body</t>
        </is>
      </c>
      <c r="E244" s="39" t="inlineStr">
        <is>
          <t>D-Mart</t>
        </is>
      </c>
      <c r="F244" s="41" t="inlineStr">
        <is>
          <t>West</t>
        </is>
      </c>
      <c r="G244" s="42" t="n">
        <v>0.357</v>
      </c>
      <c r="H244" s="16">
        <f>IFERROR(G244/SUMIFS($G$4:$G$1504,$C$4:$C$1504,$C244,$D$4:$D$1504,$D244),0)</f>
        <v/>
      </c>
      <c r="I244" s="14">
        <f>$H244*SUMIFS('Forecast Engine'!$AK$4:$AK$12,'Forecast Engine'!$A$4:$A$12,$C244,'Forecast Engine'!$B$4:$B$12,$D244)</f>
        <v/>
      </c>
      <c r="J244" s="14">
        <f>$H244*SUMIFS('Forecast Engine'!$AL$4:$AL$12,'Forecast Engine'!$A$4:$A$12,$C244,'Forecast Engine'!$B$4:$B$12,$D244)</f>
        <v/>
      </c>
      <c r="K244" s="14">
        <f>$H244*SUMIFS('Forecast Engine'!$AM$4:$AM$12,'Forecast Engine'!$A$4:$A$12,$C244,'Forecast Engine'!$B$4:$B$12,$D244)</f>
        <v/>
      </c>
      <c r="L244" s="43">
        <f>SUM(I244:K244)</f>
        <v/>
      </c>
    </row>
    <row r="245">
      <c r="A245" s="39" t="inlineStr"/>
      <c r="B245" s="39" t="inlineStr"/>
      <c r="C245" s="40" t="inlineStr">
        <is>
          <t>Mamaearth</t>
        </is>
      </c>
      <c r="D245" s="40" t="inlineStr">
        <is>
          <t>Body</t>
        </is>
      </c>
      <c r="E245" s="39" t="inlineStr">
        <is>
          <t>Reliance Retail Limited</t>
        </is>
      </c>
      <c r="F245" s="41" t="inlineStr">
        <is>
          <t>South-1</t>
        </is>
      </c>
      <c r="G245" s="42" t="n">
        <v>0.3516</v>
      </c>
      <c r="H245" s="16">
        <f>IFERROR(G245/SUMIFS($G$4:$G$1504,$C$4:$C$1504,$C245,$D$4:$D$1504,$D245),0)</f>
        <v/>
      </c>
      <c r="I245" s="14">
        <f>$H245*SUMIFS('Forecast Engine'!$AK$4:$AK$12,'Forecast Engine'!$A$4:$A$12,$C245,'Forecast Engine'!$B$4:$B$12,$D245)</f>
        <v/>
      </c>
      <c r="J245" s="14">
        <f>$H245*SUMIFS('Forecast Engine'!$AL$4:$AL$12,'Forecast Engine'!$A$4:$A$12,$C245,'Forecast Engine'!$B$4:$B$12,$D245)</f>
        <v/>
      </c>
      <c r="K245" s="14">
        <f>$H245*SUMIFS('Forecast Engine'!$AM$4:$AM$12,'Forecast Engine'!$A$4:$A$12,$C245,'Forecast Engine'!$B$4:$B$12,$D245)</f>
        <v/>
      </c>
      <c r="L245" s="43">
        <f>SUM(I245:K245)</f>
        <v/>
      </c>
    </row>
    <row r="246">
      <c r="A246" s="39" t="inlineStr"/>
      <c r="B246" s="39" t="inlineStr"/>
      <c r="C246" s="40" t="inlineStr">
        <is>
          <t>Mamaearth</t>
        </is>
      </c>
      <c r="D246" s="40" t="inlineStr">
        <is>
          <t>Body</t>
        </is>
      </c>
      <c r="E246" s="39" t="inlineStr">
        <is>
          <t>Sri Vijaya Durga Agencie</t>
        </is>
      </c>
      <c r="F246" s="41" t="inlineStr">
        <is>
          <t>South-2</t>
        </is>
      </c>
      <c r="G246" s="42" t="n">
        <v>0.3471</v>
      </c>
      <c r="H246" s="16">
        <f>IFERROR(G246/SUMIFS($G$4:$G$1504,$C$4:$C$1504,$C246,$D$4:$D$1504,$D246),0)</f>
        <v/>
      </c>
      <c r="I246" s="14">
        <f>$H246*SUMIFS('Forecast Engine'!$AK$4:$AK$12,'Forecast Engine'!$A$4:$A$12,$C246,'Forecast Engine'!$B$4:$B$12,$D246)</f>
        <v/>
      </c>
      <c r="J246" s="14">
        <f>$H246*SUMIFS('Forecast Engine'!$AL$4:$AL$12,'Forecast Engine'!$A$4:$A$12,$C246,'Forecast Engine'!$B$4:$B$12,$D246)</f>
        <v/>
      </c>
      <c r="K246" s="14">
        <f>$H246*SUMIFS('Forecast Engine'!$AM$4:$AM$12,'Forecast Engine'!$A$4:$A$12,$C246,'Forecast Engine'!$B$4:$B$12,$D246)</f>
        <v/>
      </c>
      <c r="L246" s="43">
        <f>SUM(I246:K246)</f>
        <v/>
      </c>
    </row>
    <row r="247">
      <c r="A247" s="39" t="inlineStr"/>
      <c r="B247" s="39" t="inlineStr"/>
      <c r="C247" s="40" t="inlineStr">
        <is>
          <t>Mamaearth</t>
        </is>
      </c>
      <c r="D247" s="40" t="inlineStr">
        <is>
          <t>Body</t>
        </is>
      </c>
      <c r="E247" s="39" t="inlineStr">
        <is>
          <t>Reliance Retail Limited</t>
        </is>
      </c>
      <c r="F247" s="41" t="inlineStr">
        <is>
          <t>East</t>
        </is>
      </c>
      <c r="G247" s="42" t="n">
        <v>0.3445</v>
      </c>
      <c r="H247" s="16">
        <f>IFERROR(G247/SUMIFS($G$4:$G$1504,$C$4:$C$1504,$C247,$D$4:$D$1504,$D247),0)</f>
        <v/>
      </c>
      <c r="I247" s="14">
        <f>$H247*SUMIFS('Forecast Engine'!$AK$4:$AK$12,'Forecast Engine'!$A$4:$A$12,$C247,'Forecast Engine'!$B$4:$B$12,$D247)</f>
        <v/>
      </c>
      <c r="J247" s="14">
        <f>$H247*SUMIFS('Forecast Engine'!$AL$4:$AL$12,'Forecast Engine'!$A$4:$A$12,$C247,'Forecast Engine'!$B$4:$B$12,$D247)</f>
        <v/>
      </c>
      <c r="K247" s="14">
        <f>$H247*SUMIFS('Forecast Engine'!$AM$4:$AM$12,'Forecast Engine'!$A$4:$A$12,$C247,'Forecast Engine'!$B$4:$B$12,$D247)</f>
        <v/>
      </c>
      <c r="L247" s="43">
        <f>SUM(I247:K247)</f>
        <v/>
      </c>
    </row>
    <row r="248">
      <c r="A248" s="39" t="inlineStr"/>
      <c r="B248" s="39" t="inlineStr"/>
      <c r="C248" s="40" t="inlineStr">
        <is>
          <t>Mamaearth</t>
        </is>
      </c>
      <c r="D248" s="40" t="inlineStr">
        <is>
          <t>Body</t>
        </is>
      </c>
      <c r="E248" s="39" t="inlineStr">
        <is>
          <t>Kiran Trading Company-So</t>
        </is>
      </c>
      <c r="F248" s="41" t="inlineStr">
        <is>
          <t>West</t>
        </is>
      </c>
      <c r="G248" s="42" t="n">
        <v>0.3434</v>
      </c>
      <c r="H248" s="16">
        <f>IFERROR(G248/SUMIFS($G$4:$G$1504,$C$4:$C$1504,$C248,$D$4:$D$1504,$D248),0)</f>
        <v/>
      </c>
      <c r="I248" s="14">
        <f>$H248*SUMIFS('Forecast Engine'!$AK$4:$AK$12,'Forecast Engine'!$A$4:$A$12,$C248,'Forecast Engine'!$B$4:$B$12,$D248)</f>
        <v/>
      </c>
      <c r="J248" s="14">
        <f>$H248*SUMIFS('Forecast Engine'!$AL$4:$AL$12,'Forecast Engine'!$A$4:$A$12,$C248,'Forecast Engine'!$B$4:$B$12,$D248)</f>
        <v/>
      </c>
      <c r="K248" s="14">
        <f>$H248*SUMIFS('Forecast Engine'!$AM$4:$AM$12,'Forecast Engine'!$A$4:$A$12,$C248,'Forecast Engine'!$B$4:$B$12,$D248)</f>
        <v/>
      </c>
      <c r="L248" s="43">
        <f>SUM(I248:K248)</f>
        <v/>
      </c>
    </row>
    <row r="249">
      <c r="A249" s="39" t="inlineStr">
        <is>
          <t>10101273</t>
        </is>
      </c>
      <c r="B249" s="39" t="inlineStr">
        <is>
          <t>Cocoa Rich Moisturizing Body Lotion 400 ml</t>
        </is>
      </c>
      <c r="C249" s="40" t="inlineStr">
        <is>
          <t>Mamaearth</t>
        </is>
      </c>
      <c r="D249" s="40" t="inlineStr">
        <is>
          <t>Body</t>
        </is>
      </c>
      <c r="E249" s="39" t="inlineStr">
        <is>
          <t>D-Mart</t>
        </is>
      </c>
      <c r="F249" s="41" t="inlineStr">
        <is>
          <t>South-1</t>
        </is>
      </c>
      <c r="G249" s="42" t="n">
        <v>0.3366</v>
      </c>
      <c r="H249" s="16">
        <f>IFERROR(G249/SUMIFS($G$4:$G$1504,$C$4:$C$1504,$C249,$D$4:$D$1504,$D249),0)</f>
        <v/>
      </c>
      <c r="I249" s="14">
        <f>$H249*SUMIFS('Forecast Engine'!$AK$4:$AK$12,'Forecast Engine'!$A$4:$A$12,$C249,'Forecast Engine'!$B$4:$B$12,$D249)</f>
        <v/>
      </c>
      <c r="J249" s="14">
        <f>$H249*SUMIFS('Forecast Engine'!$AL$4:$AL$12,'Forecast Engine'!$A$4:$A$12,$C249,'Forecast Engine'!$B$4:$B$12,$D249)</f>
        <v/>
      </c>
      <c r="K249" s="14">
        <f>$H249*SUMIFS('Forecast Engine'!$AM$4:$AM$12,'Forecast Engine'!$A$4:$A$12,$C249,'Forecast Engine'!$B$4:$B$12,$D249)</f>
        <v/>
      </c>
      <c r="L249" s="43">
        <f>SUM(I249:K249)</f>
        <v/>
      </c>
    </row>
    <row r="250">
      <c r="A250" s="39" t="inlineStr">
        <is>
          <t>10101090</t>
        </is>
      </c>
      <c r="B250" s="39" t="inlineStr">
        <is>
          <t>Vitamin C Moisturizing Lotion Soap Pack of 4 (12</t>
        </is>
      </c>
      <c r="C250" s="40" t="inlineStr">
        <is>
          <t>Mamaearth</t>
        </is>
      </c>
      <c r="D250" s="40" t="inlineStr">
        <is>
          <t>Body</t>
        </is>
      </c>
      <c r="E250" s="39" t="inlineStr">
        <is>
          <t>Apollo Healthco</t>
        </is>
      </c>
      <c r="F250" s="41" t="inlineStr">
        <is>
          <t>South-1</t>
        </is>
      </c>
      <c r="G250" s="42" t="n">
        <v>0.302</v>
      </c>
      <c r="H250" s="16">
        <f>IFERROR(G250/SUMIFS($G$4:$G$1504,$C$4:$C$1504,$C250,$D$4:$D$1504,$D250),0)</f>
        <v/>
      </c>
      <c r="I250" s="14">
        <f>$H250*SUMIFS('Forecast Engine'!$AK$4:$AK$12,'Forecast Engine'!$A$4:$A$12,$C250,'Forecast Engine'!$B$4:$B$12,$D250)</f>
        <v/>
      </c>
      <c r="J250" s="14">
        <f>$H250*SUMIFS('Forecast Engine'!$AL$4:$AL$12,'Forecast Engine'!$A$4:$A$12,$C250,'Forecast Engine'!$B$4:$B$12,$D250)</f>
        <v/>
      </c>
      <c r="K250" s="14">
        <f>$H250*SUMIFS('Forecast Engine'!$AM$4:$AM$12,'Forecast Engine'!$A$4:$A$12,$C250,'Forecast Engine'!$B$4:$B$12,$D250)</f>
        <v/>
      </c>
      <c r="L250" s="43">
        <f>SUM(I250:K250)</f>
        <v/>
      </c>
    </row>
    <row r="251">
      <c r="A251" s="39" t="inlineStr"/>
      <c r="B251" s="39" t="inlineStr"/>
      <c r="C251" s="40" t="inlineStr">
        <is>
          <t>Mamaearth</t>
        </is>
      </c>
      <c r="D251" s="40" t="inlineStr">
        <is>
          <t>Body</t>
        </is>
      </c>
      <c r="E251" s="39" t="inlineStr">
        <is>
          <t>Apollo Healthco</t>
        </is>
      </c>
      <c r="F251" s="41" t="inlineStr">
        <is>
          <t>South-2</t>
        </is>
      </c>
      <c r="G251" s="42" t="n">
        <v>0.3009</v>
      </c>
      <c r="H251" s="16">
        <f>IFERROR(G251/SUMIFS($G$4:$G$1504,$C$4:$C$1504,$C251,$D$4:$D$1504,$D251),0)</f>
        <v/>
      </c>
      <c r="I251" s="14">
        <f>$H251*SUMIFS('Forecast Engine'!$AK$4:$AK$12,'Forecast Engine'!$A$4:$A$12,$C251,'Forecast Engine'!$B$4:$B$12,$D251)</f>
        <v/>
      </c>
      <c r="J251" s="14">
        <f>$H251*SUMIFS('Forecast Engine'!$AL$4:$AL$12,'Forecast Engine'!$A$4:$A$12,$C251,'Forecast Engine'!$B$4:$B$12,$D251)</f>
        <v/>
      </c>
      <c r="K251" s="14">
        <f>$H251*SUMIFS('Forecast Engine'!$AM$4:$AM$12,'Forecast Engine'!$A$4:$A$12,$C251,'Forecast Engine'!$B$4:$B$12,$D251)</f>
        <v/>
      </c>
      <c r="L251" s="43">
        <f>SUM(I251:K251)</f>
        <v/>
      </c>
    </row>
    <row r="252">
      <c r="A252" s="39" t="inlineStr"/>
      <c r="B252" s="39" t="inlineStr"/>
      <c r="C252" s="40" t="inlineStr">
        <is>
          <t>Mamaearth</t>
        </is>
      </c>
      <c r="D252" s="40" t="inlineStr">
        <is>
          <t>Body</t>
        </is>
      </c>
      <c r="E252" s="39" t="inlineStr">
        <is>
          <t xml:space="preserve">Sancus Networks Private </t>
        </is>
      </c>
      <c r="F252" s="41" t="inlineStr">
        <is>
          <t>North</t>
        </is>
      </c>
      <c r="G252" s="42" t="n">
        <v>0.2941</v>
      </c>
      <c r="H252" s="16">
        <f>IFERROR(G252/SUMIFS($G$4:$G$1504,$C$4:$C$1504,$C252,$D$4:$D$1504,$D252),0)</f>
        <v/>
      </c>
      <c r="I252" s="14">
        <f>$H252*SUMIFS('Forecast Engine'!$AK$4:$AK$12,'Forecast Engine'!$A$4:$A$12,$C252,'Forecast Engine'!$B$4:$B$12,$D252)</f>
        <v/>
      </c>
      <c r="J252" s="14">
        <f>$H252*SUMIFS('Forecast Engine'!$AL$4:$AL$12,'Forecast Engine'!$A$4:$A$12,$C252,'Forecast Engine'!$B$4:$B$12,$D252)</f>
        <v/>
      </c>
      <c r="K252" s="14">
        <f>$H252*SUMIFS('Forecast Engine'!$AM$4:$AM$12,'Forecast Engine'!$A$4:$A$12,$C252,'Forecast Engine'!$B$4:$B$12,$D252)</f>
        <v/>
      </c>
      <c r="L252" s="43">
        <f>SUM(I252:K252)</f>
        <v/>
      </c>
    </row>
    <row r="253">
      <c r="A253" s="39" t="inlineStr">
        <is>
          <t>10101275</t>
        </is>
      </c>
      <c r="B253" s="39" t="inlineStr">
        <is>
          <t>Ubtan Moisturizing Body Lotion 400 ml</t>
        </is>
      </c>
      <c r="C253" s="40" t="inlineStr">
        <is>
          <t>Mamaearth</t>
        </is>
      </c>
      <c r="D253" s="40" t="inlineStr">
        <is>
          <t>Body</t>
        </is>
      </c>
      <c r="E253" s="39" t="inlineStr">
        <is>
          <t>D-Mart</t>
        </is>
      </c>
      <c r="F253" s="41" t="inlineStr">
        <is>
          <t>West</t>
        </is>
      </c>
      <c r="G253" s="42" t="n">
        <v>0.273</v>
      </c>
      <c r="H253" s="16">
        <f>IFERROR(G253/SUMIFS($G$4:$G$1504,$C$4:$C$1504,$C253,$D$4:$D$1504,$D253),0)</f>
        <v/>
      </c>
      <c r="I253" s="14">
        <f>$H253*SUMIFS('Forecast Engine'!$AK$4:$AK$12,'Forecast Engine'!$A$4:$A$12,$C253,'Forecast Engine'!$B$4:$B$12,$D253)</f>
        <v/>
      </c>
      <c r="J253" s="14">
        <f>$H253*SUMIFS('Forecast Engine'!$AL$4:$AL$12,'Forecast Engine'!$A$4:$A$12,$C253,'Forecast Engine'!$B$4:$B$12,$D253)</f>
        <v/>
      </c>
      <c r="K253" s="14">
        <f>$H253*SUMIFS('Forecast Engine'!$AM$4:$AM$12,'Forecast Engine'!$A$4:$A$12,$C253,'Forecast Engine'!$B$4:$B$12,$D253)</f>
        <v/>
      </c>
      <c r="L253" s="43">
        <f>SUM(I253:K253)</f>
        <v/>
      </c>
    </row>
    <row r="254">
      <c r="A254" s="39" t="inlineStr">
        <is>
          <t>10101275</t>
        </is>
      </c>
      <c r="B254" s="39" t="inlineStr">
        <is>
          <t>Ubtan Moisturizing Body Lotion 400 ml</t>
        </is>
      </c>
      <c r="C254" s="40" t="inlineStr">
        <is>
          <t>Mamaearth</t>
        </is>
      </c>
      <c r="D254" s="40" t="inlineStr">
        <is>
          <t>Body</t>
        </is>
      </c>
      <c r="E254" s="39" t="inlineStr">
        <is>
          <t>Apollo Healthco</t>
        </is>
      </c>
      <c r="F254" s="41" t="inlineStr">
        <is>
          <t>South-2</t>
        </is>
      </c>
      <c r="G254" s="42" t="n">
        <v>0.272</v>
      </c>
      <c r="H254" s="16">
        <f>IFERROR(G254/SUMIFS($G$4:$G$1504,$C$4:$C$1504,$C254,$D$4:$D$1504,$D254),0)</f>
        <v/>
      </c>
      <c r="I254" s="14">
        <f>$H254*SUMIFS('Forecast Engine'!$AK$4:$AK$12,'Forecast Engine'!$A$4:$A$12,$C254,'Forecast Engine'!$B$4:$B$12,$D254)</f>
        <v/>
      </c>
      <c r="J254" s="14">
        <f>$H254*SUMIFS('Forecast Engine'!$AL$4:$AL$12,'Forecast Engine'!$A$4:$A$12,$C254,'Forecast Engine'!$B$4:$B$12,$D254)</f>
        <v/>
      </c>
      <c r="K254" s="14">
        <f>$H254*SUMIFS('Forecast Engine'!$AM$4:$AM$12,'Forecast Engine'!$A$4:$A$12,$C254,'Forecast Engine'!$B$4:$B$12,$D254)</f>
        <v/>
      </c>
      <c r="L254" s="43">
        <f>SUM(I254:K254)</f>
        <v/>
      </c>
    </row>
    <row r="255">
      <c r="A255" s="39" t="inlineStr"/>
      <c r="B255" s="39" t="inlineStr"/>
      <c r="C255" s="40" t="inlineStr">
        <is>
          <t>Mamaearth</t>
        </is>
      </c>
      <c r="D255" s="40" t="inlineStr">
        <is>
          <t>Body</t>
        </is>
      </c>
      <c r="E255" s="39" t="inlineStr">
        <is>
          <t>G.V Enterprises</t>
        </is>
      </c>
      <c r="F255" s="41" t="inlineStr">
        <is>
          <t>South-1</t>
        </is>
      </c>
      <c r="G255" s="42" t="n">
        <v>0.2686</v>
      </c>
      <c r="H255" s="16">
        <f>IFERROR(G255/SUMIFS($G$4:$G$1504,$C$4:$C$1504,$C255,$D$4:$D$1504,$D255),0)</f>
        <v/>
      </c>
      <c r="I255" s="14">
        <f>$H255*SUMIFS('Forecast Engine'!$AK$4:$AK$12,'Forecast Engine'!$A$4:$A$12,$C255,'Forecast Engine'!$B$4:$B$12,$D255)</f>
        <v/>
      </c>
      <c r="J255" s="14">
        <f>$H255*SUMIFS('Forecast Engine'!$AL$4:$AL$12,'Forecast Engine'!$A$4:$A$12,$C255,'Forecast Engine'!$B$4:$B$12,$D255)</f>
        <v/>
      </c>
      <c r="K255" s="14">
        <f>$H255*SUMIFS('Forecast Engine'!$AM$4:$AM$12,'Forecast Engine'!$A$4:$A$12,$C255,'Forecast Engine'!$B$4:$B$12,$D255)</f>
        <v/>
      </c>
      <c r="L255" s="43">
        <f>SUM(I255:K255)</f>
        <v/>
      </c>
    </row>
    <row r="256">
      <c r="A256" s="39" t="inlineStr">
        <is>
          <t>10101088</t>
        </is>
      </c>
      <c r="B256" s="39" t="inlineStr">
        <is>
          <t xml:space="preserve">Ubtan Moisturizing Lotion Soap Pack of 4 (125 g </t>
        </is>
      </c>
      <c r="C256" s="40" t="inlineStr">
        <is>
          <t>Mamaearth</t>
        </is>
      </c>
      <c r="D256" s="40" t="inlineStr">
        <is>
          <t>Body</t>
        </is>
      </c>
      <c r="E256" s="39" t="inlineStr">
        <is>
          <t>Apollo Healthco</t>
        </is>
      </c>
      <c r="F256" s="41" t="inlineStr">
        <is>
          <t>South-1</t>
        </is>
      </c>
      <c r="G256" s="42" t="n">
        <v>0.267</v>
      </c>
      <c r="H256" s="16">
        <f>IFERROR(G256/SUMIFS($G$4:$G$1504,$C$4:$C$1504,$C256,$D$4:$D$1504,$D256),0)</f>
        <v/>
      </c>
      <c r="I256" s="14">
        <f>$H256*SUMIFS('Forecast Engine'!$AK$4:$AK$12,'Forecast Engine'!$A$4:$A$12,$C256,'Forecast Engine'!$B$4:$B$12,$D256)</f>
        <v/>
      </c>
      <c r="J256" s="14">
        <f>$H256*SUMIFS('Forecast Engine'!$AL$4:$AL$12,'Forecast Engine'!$A$4:$A$12,$C256,'Forecast Engine'!$B$4:$B$12,$D256)</f>
        <v/>
      </c>
      <c r="K256" s="14">
        <f>$H256*SUMIFS('Forecast Engine'!$AM$4:$AM$12,'Forecast Engine'!$A$4:$A$12,$C256,'Forecast Engine'!$B$4:$B$12,$D256)</f>
        <v/>
      </c>
      <c r="L256" s="43">
        <f>SUM(I256:K256)</f>
        <v/>
      </c>
    </row>
    <row r="257">
      <c r="A257" s="39" t="inlineStr"/>
      <c r="B257" s="39" t="inlineStr"/>
      <c r="C257" s="40" t="inlineStr">
        <is>
          <t>Mamaearth</t>
        </is>
      </c>
      <c r="D257" s="40" t="inlineStr">
        <is>
          <t>Body</t>
        </is>
      </c>
      <c r="E257" s="39" t="inlineStr">
        <is>
          <t>M/S KOTTARAM BUSINESS</t>
        </is>
      </c>
      <c r="F257" s="41" t="inlineStr">
        <is>
          <t>South-1</t>
        </is>
      </c>
      <c r="G257" s="42" t="n">
        <v>0.2613</v>
      </c>
      <c r="H257" s="16">
        <f>IFERROR(G257/SUMIFS($G$4:$G$1504,$C$4:$C$1504,$C257,$D$4:$D$1504,$D257),0)</f>
        <v/>
      </c>
      <c r="I257" s="14">
        <f>$H257*SUMIFS('Forecast Engine'!$AK$4:$AK$12,'Forecast Engine'!$A$4:$A$12,$C257,'Forecast Engine'!$B$4:$B$12,$D257)</f>
        <v/>
      </c>
      <c r="J257" s="14">
        <f>$H257*SUMIFS('Forecast Engine'!$AL$4:$AL$12,'Forecast Engine'!$A$4:$A$12,$C257,'Forecast Engine'!$B$4:$B$12,$D257)</f>
        <v/>
      </c>
      <c r="K257" s="14">
        <f>$H257*SUMIFS('Forecast Engine'!$AM$4:$AM$12,'Forecast Engine'!$A$4:$A$12,$C257,'Forecast Engine'!$B$4:$B$12,$D257)</f>
        <v/>
      </c>
      <c r="L257" s="43">
        <f>SUM(I257:K257)</f>
        <v/>
      </c>
    </row>
    <row r="258">
      <c r="A258" s="39" t="inlineStr">
        <is>
          <t>10101274</t>
        </is>
      </c>
      <c r="B258" s="39" t="inlineStr">
        <is>
          <t>Vitamin C Daily Glow Body Lotion 400 ml</t>
        </is>
      </c>
      <c r="C258" s="40" t="inlineStr">
        <is>
          <t>Mamaearth</t>
        </is>
      </c>
      <c r="D258" s="40" t="inlineStr">
        <is>
          <t>Body</t>
        </is>
      </c>
      <c r="E258" s="39" t="inlineStr">
        <is>
          <t>Apollo Healthco</t>
        </is>
      </c>
      <c r="F258" s="41" t="inlineStr">
        <is>
          <t>South-2</t>
        </is>
      </c>
      <c r="G258" s="42" t="n">
        <v>0.257</v>
      </c>
      <c r="H258" s="16">
        <f>IFERROR(G258/SUMIFS($G$4:$G$1504,$C$4:$C$1504,$C258,$D$4:$D$1504,$D258),0)</f>
        <v/>
      </c>
      <c r="I258" s="14">
        <f>$H258*SUMIFS('Forecast Engine'!$AK$4:$AK$12,'Forecast Engine'!$A$4:$A$12,$C258,'Forecast Engine'!$B$4:$B$12,$D258)</f>
        <v/>
      </c>
      <c r="J258" s="14">
        <f>$H258*SUMIFS('Forecast Engine'!$AL$4:$AL$12,'Forecast Engine'!$A$4:$A$12,$C258,'Forecast Engine'!$B$4:$B$12,$D258)</f>
        <v/>
      </c>
      <c r="K258" s="14">
        <f>$H258*SUMIFS('Forecast Engine'!$AM$4:$AM$12,'Forecast Engine'!$A$4:$A$12,$C258,'Forecast Engine'!$B$4:$B$12,$D258)</f>
        <v/>
      </c>
      <c r="L258" s="43">
        <f>SUM(I258:K258)</f>
        <v/>
      </c>
    </row>
    <row r="259">
      <c r="A259" s="39" t="inlineStr">
        <is>
          <t>(various)</t>
        </is>
      </c>
      <c r="B259" s="39" t="inlineStr">
        <is>
          <t>Long-tail articles &amp; chains (residual)</t>
        </is>
      </c>
      <c r="C259" s="40" t="inlineStr">
        <is>
          <t>Mamaearth</t>
        </is>
      </c>
      <c r="D259" s="40" t="inlineStr">
        <is>
          <t>Body</t>
        </is>
      </c>
      <c r="E259" s="39" t="inlineStr">
        <is>
          <t>(all other chains)</t>
        </is>
      </c>
      <c r="F259" s="41" t="inlineStr">
        <is>
          <t>(mixed)</t>
        </is>
      </c>
      <c r="G259" s="42" t="n">
        <v>17.8899</v>
      </c>
      <c r="H259" s="16">
        <f>IFERROR(G259/SUMIFS($G$4:$G$1504,$C$4:$C$1504,$C259,$D$4:$D$1504,$D259),0)</f>
        <v/>
      </c>
      <c r="I259" s="14">
        <f>$H259*SUMIFS('Forecast Engine'!$AK$4:$AK$12,'Forecast Engine'!$A$4:$A$12,$C259,'Forecast Engine'!$B$4:$B$12,$D259)</f>
        <v/>
      </c>
      <c r="J259" s="14">
        <f>$H259*SUMIFS('Forecast Engine'!$AL$4:$AL$12,'Forecast Engine'!$A$4:$A$12,$C259,'Forecast Engine'!$B$4:$B$12,$D259)</f>
        <v/>
      </c>
      <c r="K259" s="14">
        <f>$H259*SUMIFS('Forecast Engine'!$AM$4:$AM$12,'Forecast Engine'!$A$4:$A$12,$C259,'Forecast Engine'!$B$4:$B$12,$D259)</f>
        <v/>
      </c>
      <c r="L259" s="43">
        <f>SUM(I259:K259)</f>
        <v/>
      </c>
    </row>
    <row r="260">
      <c r="A260" s="39" t="inlineStr"/>
      <c r="B260" s="39" t="inlineStr"/>
      <c r="C260" s="40" t="inlineStr">
        <is>
          <t>Mamaearth</t>
        </is>
      </c>
      <c r="D260" s="40" t="inlineStr">
        <is>
          <t>Baby</t>
        </is>
      </c>
      <c r="E260" s="39" t="inlineStr">
        <is>
          <t>Sri Vijaya Durga Agencie</t>
        </is>
      </c>
      <c r="F260" s="41" t="inlineStr">
        <is>
          <t>South-2</t>
        </is>
      </c>
      <c r="G260" s="42" t="n">
        <v>2.2182</v>
      </c>
      <c r="H260" s="16">
        <f>IFERROR(G260/SUMIFS($G$4:$G$1504,$C$4:$C$1504,$C260,$D$4:$D$1504,$D260),0)</f>
        <v/>
      </c>
      <c r="I260" s="14">
        <f>$H260*SUMIFS('Forecast Engine'!$AK$4:$AK$12,'Forecast Engine'!$A$4:$A$12,$C260,'Forecast Engine'!$B$4:$B$12,$D260)</f>
        <v/>
      </c>
      <c r="J260" s="14">
        <f>$H260*SUMIFS('Forecast Engine'!$AL$4:$AL$12,'Forecast Engine'!$A$4:$A$12,$C260,'Forecast Engine'!$B$4:$B$12,$D260)</f>
        <v/>
      </c>
      <c r="K260" s="14">
        <f>$H260*SUMIFS('Forecast Engine'!$AM$4:$AM$12,'Forecast Engine'!$A$4:$A$12,$C260,'Forecast Engine'!$B$4:$B$12,$D260)</f>
        <v/>
      </c>
      <c r="L260" s="43">
        <f>SUM(I260:K260)</f>
        <v/>
      </c>
    </row>
    <row r="261">
      <c r="A261" s="39" t="inlineStr"/>
      <c r="B261" s="39" t="inlineStr"/>
      <c r="C261" s="40" t="inlineStr">
        <is>
          <t>Mamaearth</t>
        </is>
      </c>
      <c r="D261" s="40" t="inlineStr">
        <is>
          <t>Baby</t>
        </is>
      </c>
      <c r="E261" s="39" t="inlineStr">
        <is>
          <t>Vanaja Agencies</t>
        </is>
      </c>
      <c r="F261" s="41" t="inlineStr">
        <is>
          <t>South-2</t>
        </is>
      </c>
      <c r="G261" s="42" t="n">
        <v>1.2749</v>
      </c>
      <c r="H261" s="16">
        <f>IFERROR(G261/SUMIFS($G$4:$G$1504,$C$4:$C$1504,$C261,$D$4:$D$1504,$D261),0)</f>
        <v/>
      </c>
      <c r="I261" s="14">
        <f>$H261*SUMIFS('Forecast Engine'!$AK$4:$AK$12,'Forecast Engine'!$A$4:$A$12,$C261,'Forecast Engine'!$B$4:$B$12,$D261)</f>
        <v/>
      </c>
      <c r="J261" s="14">
        <f>$H261*SUMIFS('Forecast Engine'!$AL$4:$AL$12,'Forecast Engine'!$A$4:$A$12,$C261,'Forecast Engine'!$B$4:$B$12,$D261)</f>
        <v/>
      </c>
      <c r="K261" s="14">
        <f>$H261*SUMIFS('Forecast Engine'!$AM$4:$AM$12,'Forecast Engine'!$A$4:$A$12,$C261,'Forecast Engine'!$B$4:$B$12,$D261)</f>
        <v/>
      </c>
      <c r="L261" s="43">
        <f>SUM(I261:K261)</f>
        <v/>
      </c>
    </row>
    <row r="262">
      <c r="A262" s="39" t="inlineStr">
        <is>
          <t>10100057</t>
        </is>
      </c>
      <c r="B262" s="39" t="inlineStr">
        <is>
          <t>Moisturizing Bathing Bar Soap For Babies pack of</t>
        </is>
      </c>
      <c r="C262" s="40" t="inlineStr">
        <is>
          <t>Mamaearth</t>
        </is>
      </c>
      <c r="D262" s="40" t="inlineStr">
        <is>
          <t>Baby</t>
        </is>
      </c>
      <c r="E262" s="39" t="inlineStr">
        <is>
          <t>Sri Vijaya Durga Agencie</t>
        </is>
      </c>
      <c r="F262" s="41" t="inlineStr">
        <is>
          <t>South-2</t>
        </is>
      </c>
      <c r="G262" s="42" t="n">
        <v>0.7072000000000001</v>
      </c>
      <c r="H262" s="16">
        <f>IFERROR(G262/SUMIFS($G$4:$G$1504,$C$4:$C$1504,$C262,$D$4:$D$1504,$D262),0)</f>
        <v/>
      </c>
      <c r="I262" s="14">
        <f>$H262*SUMIFS('Forecast Engine'!$AK$4:$AK$12,'Forecast Engine'!$A$4:$A$12,$C262,'Forecast Engine'!$B$4:$B$12,$D262)</f>
        <v/>
      </c>
      <c r="J262" s="14">
        <f>$H262*SUMIFS('Forecast Engine'!$AL$4:$AL$12,'Forecast Engine'!$A$4:$A$12,$C262,'Forecast Engine'!$B$4:$B$12,$D262)</f>
        <v/>
      </c>
      <c r="K262" s="14">
        <f>$H262*SUMIFS('Forecast Engine'!$AM$4:$AM$12,'Forecast Engine'!$A$4:$A$12,$C262,'Forecast Engine'!$B$4:$B$12,$D262)</f>
        <v/>
      </c>
      <c r="L262" s="43">
        <f>SUM(I262:K262)</f>
        <v/>
      </c>
    </row>
    <row r="263">
      <c r="A263" s="39" t="inlineStr"/>
      <c r="B263" s="39" t="inlineStr"/>
      <c r="C263" s="40" t="inlineStr">
        <is>
          <t>Mamaearth</t>
        </is>
      </c>
      <c r="D263" s="40" t="inlineStr">
        <is>
          <t>Baby</t>
        </is>
      </c>
      <c r="E263" s="39" t="inlineStr">
        <is>
          <t>Az Enterprises</t>
        </is>
      </c>
      <c r="F263" s="41" t="inlineStr">
        <is>
          <t>South-1</t>
        </is>
      </c>
      <c r="G263" s="42" t="n">
        <v>0.6112</v>
      </c>
      <c r="H263" s="16">
        <f>IFERROR(G263/SUMIFS($G$4:$G$1504,$C$4:$C$1504,$C263,$D$4:$D$1504,$D263),0)</f>
        <v/>
      </c>
      <c r="I263" s="14">
        <f>$H263*SUMIFS('Forecast Engine'!$AK$4:$AK$12,'Forecast Engine'!$A$4:$A$12,$C263,'Forecast Engine'!$B$4:$B$12,$D263)</f>
        <v/>
      </c>
      <c r="J263" s="14">
        <f>$H263*SUMIFS('Forecast Engine'!$AL$4:$AL$12,'Forecast Engine'!$A$4:$A$12,$C263,'Forecast Engine'!$B$4:$B$12,$D263)</f>
        <v/>
      </c>
      <c r="K263" s="14">
        <f>$H263*SUMIFS('Forecast Engine'!$AM$4:$AM$12,'Forecast Engine'!$A$4:$A$12,$C263,'Forecast Engine'!$B$4:$B$12,$D263)</f>
        <v/>
      </c>
      <c r="L263" s="43">
        <f>SUM(I263:K263)</f>
        <v/>
      </c>
    </row>
    <row r="264">
      <c r="A264" s="39" t="inlineStr"/>
      <c r="B264" s="39" t="inlineStr"/>
      <c r="C264" s="40" t="inlineStr">
        <is>
          <t>Mamaearth</t>
        </is>
      </c>
      <c r="D264" s="40" t="inlineStr">
        <is>
          <t>Baby</t>
        </is>
      </c>
      <c r="E264" s="39" t="inlineStr">
        <is>
          <t>Apollo Healthco</t>
        </is>
      </c>
      <c r="F264" s="41" t="inlineStr">
        <is>
          <t>South-1</t>
        </is>
      </c>
      <c r="G264" s="42" t="n">
        <v>0.5475</v>
      </c>
      <c r="H264" s="16">
        <f>IFERROR(G264/SUMIFS($G$4:$G$1504,$C$4:$C$1504,$C264,$D$4:$D$1504,$D264),0)</f>
        <v/>
      </c>
      <c r="I264" s="14">
        <f>$H264*SUMIFS('Forecast Engine'!$AK$4:$AK$12,'Forecast Engine'!$A$4:$A$12,$C264,'Forecast Engine'!$B$4:$B$12,$D264)</f>
        <v/>
      </c>
      <c r="J264" s="14">
        <f>$H264*SUMIFS('Forecast Engine'!$AL$4:$AL$12,'Forecast Engine'!$A$4:$A$12,$C264,'Forecast Engine'!$B$4:$B$12,$D264)</f>
        <v/>
      </c>
      <c r="K264" s="14">
        <f>$H264*SUMIFS('Forecast Engine'!$AM$4:$AM$12,'Forecast Engine'!$A$4:$A$12,$C264,'Forecast Engine'!$B$4:$B$12,$D264)</f>
        <v/>
      </c>
      <c r="L264" s="43">
        <f>SUM(I264:K264)</f>
        <v/>
      </c>
    </row>
    <row r="265">
      <c r="A265" s="39" t="inlineStr"/>
      <c r="B265" s="39" t="inlineStr"/>
      <c r="C265" s="40" t="inlineStr">
        <is>
          <t>Mamaearth</t>
        </is>
      </c>
      <c r="D265" s="40" t="inlineStr">
        <is>
          <t>Baby</t>
        </is>
      </c>
      <c r="E265" s="39" t="inlineStr">
        <is>
          <t>G.V Enterprises</t>
        </is>
      </c>
      <c r="F265" s="41" t="inlineStr">
        <is>
          <t>South-1</t>
        </is>
      </c>
      <c r="G265" s="42" t="n">
        <v>0.4998</v>
      </c>
      <c r="H265" s="16">
        <f>IFERROR(G265/SUMIFS($G$4:$G$1504,$C$4:$C$1504,$C265,$D$4:$D$1504,$D265),0)</f>
        <v/>
      </c>
      <c r="I265" s="14">
        <f>$H265*SUMIFS('Forecast Engine'!$AK$4:$AK$12,'Forecast Engine'!$A$4:$A$12,$C265,'Forecast Engine'!$B$4:$B$12,$D265)</f>
        <v/>
      </c>
      <c r="J265" s="14">
        <f>$H265*SUMIFS('Forecast Engine'!$AL$4:$AL$12,'Forecast Engine'!$A$4:$A$12,$C265,'Forecast Engine'!$B$4:$B$12,$D265)</f>
        <v/>
      </c>
      <c r="K265" s="14">
        <f>$H265*SUMIFS('Forecast Engine'!$AM$4:$AM$12,'Forecast Engine'!$A$4:$A$12,$C265,'Forecast Engine'!$B$4:$B$12,$D265)</f>
        <v/>
      </c>
      <c r="L265" s="43">
        <f>SUM(I265:K265)</f>
        <v/>
      </c>
    </row>
    <row r="266">
      <c r="A266" s="39" t="inlineStr"/>
      <c r="B266" s="39" t="inlineStr"/>
      <c r="C266" s="40" t="inlineStr">
        <is>
          <t>Mamaearth</t>
        </is>
      </c>
      <c r="D266" s="40" t="inlineStr">
        <is>
          <t>Baby</t>
        </is>
      </c>
      <c r="E266" s="39" t="inlineStr">
        <is>
          <t>Apollo Healthco</t>
        </is>
      </c>
      <c r="F266" s="41" t="inlineStr">
        <is>
          <t>North</t>
        </is>
      </c>
      <c r="G266" s="42" t="n">
        <v>0.4326</v>
      </c>
      <c r="H266" s="16">
        <f>IFERROR(G266/SUMIFS($G$4:$G$1504,$C$4:$C$1504,$C266,$D$4:$D$1504,$D266),0)</f>
        <v/>
      </c>
      <c r="I266" s="14">
        <f>$H266*SUMIFS('Forecast Engine'!$AK$4:$AK$12,'Forecast Engine'!$A$4:$A$12,$C266,'Forecast Engine'!$B$4:$B$12,$D266)</f>
        <v/>
      </c>
      <c r="J266" s="14">
        <f>$H266*SUMIFS('Forecast Engine'!$AL$4:$AL$12,'Forecast Engine'!$A$4:$A$12,$C266,'Forecast Engine'!$B$4:$B$12,$D266)</f>
        <v/>
      </c>
      <c r="K266" s="14">
        <f>$H266*SUMIFS('Forecast Engine'!$AM$4:$AM$12,'Forecast Engine'!$A$4:$A$12,$C266,'Forecast Engine'!$B$4:$B$12,$D266)</f>
        <v/>
      </c>
      <c r="L266" s="43">
        <f>SUM(I266:K266)</f>
        <v/>
      </c>
    </row>
    <row r="267">
      <c r="A267" s="39" t="inlineStr"/>
      <c r="B267" s="39" t="inlineStr"/>
      <c r="C267" s="40" t="inlineStr">
        <is>
          <t>Mamaearth</t>
        </is>
      </c>
      <c r="D267" s="40" t="inlineStr">
        <is>
          <t>Baby</t>
        </is>
      </c>
      <c r="E267" s="39" t="inlineStr">
        <is>
          <t>D.L. Sales - MT</t>
        </is>
      </c>
      <c r="F267" s="41" t="inlineStr">
        <is>
          <t>East</t>
        </is>
      </c>
      <c r="G267" s="42" t="n">
        <v>0.3986</v>
      </c>
      <c r="H267" s="16">
        <f>IFERROR(G267/SUMIFS($G$4:$G$1504,$C$4:$C$1504,$C267,$D$4:$D$1504,$D267),0)</f>
        <v/>
      </c>
      <c r="I267" s="14">
        <f>$H267*SUMIFS('Forecast Engine'!$AK$4:$AK$12,'Forecast Engine'!$A$4:$A$12,$C267,'Forecast Engine'!$B$4:$B$12,$D267)</f>
        <v/>
      </c>
      <c r="J267" s="14">
        <f>$H267*SUMIFS('Forecast Engine'!$AL$4:$AL$12,'Forecast Engine'!$A$4:$A$12,$C267,'Forecast Engine'!$B$4:$B$12,$D267)</f>
        <v/>
      </c>
      <c r="K267" s="14">
        <f>$H267*SUMIFS('Forecast Engine'!$AM$4:$AM$12,'Forecast Engine'!$A$4:$A$12,$C267,'Forecast Engine'!$B$4:$B$12,$D267)</f>
        <v/>
      </c>
      <c r="L267" s="43">
        <f>SUM(I267:K267)</f>
        <v/>
      </c>
    </row>
    <row r="268">
      <c r="A268" s="39" t="inlineStr">
        <is>
          <t>10100057</t>
        </is>
      </c>
      <c r="B268" s="39" t="inlineStr">
        <is>
          <t>Moisturizing Bathing Bar Soap For Babies pack of</t>
        </is>
      </c>
      <c r="C268" s="40" t="inlineStr">
        <is>
          <t>Mamaearth</t>
        </is>
      </c>
      <c r="D268" s="40" t="inlineStr">
        <is>
          <t>Baby</t>
        </is>
      </c>
      <c r="E268" s="39" t="inlineStr">
        <is>
          <t>D-Mart</t>
        </is>
      </c>
      <c r="F268" s="41" t="inlineStr">
        <is>
          <t>South-2</t>
        </is>
      </c>
      <c r="G268" s="42" t="n">
        <v>0.3477</v>
      </c>
      <c r="H268" s="16">
        <f>IFERROR(G268/SUMIFS($G$4:$G$1504,$C$4:$C$1504,$C268,$D$4:$D$1504,$D268),0)</f>
        <v/>
      </c>
      <c r="I268" s="14">
        <f>$H268*SUMIFS('Forecast Engine'!$AK$4:$AK$12,'Forecast Engine'!$A$4:$A$12,$C268,'Forecast Engine'!$B$4:$B$12,$D268)</f>
        <v/>
      </c>
      <c r="J268" s="14">
        <f>$H268*SUMIFS('Forecast Engine'!$AL$4:$AL$12,'Forecast Engine'!$A$4:$A$12,$C268,'Forecast Engine'!$B$4:$B$12,$D268)</f>
        <v/>
      </c>
      <c r="K268" s="14">
        <f>$H268*SUMIFS('Forecast Engine'!$AM$4:$AM$12,'Forecast Engine'!$A$4:$A$12,$C268,'Forecast Engine'!$B$4:$B$12,$D268)</f>
        <v/>
      </c>
      <c r="L268" s="43">
        <f>SUM(I268:K268)</f>
        <v/>
      </c>
    </row>
    <row r="269">
      <c r="A269" s="39" t="inlineStr"/>
      <c r="B269" s="39" t="inlineStr"/>
      <c r="C269" s="40" t="inlineStr">
        <is>
          <t>Mamaearth</t>
        </is>
      </c>
      <c r="D269" s="40" t="inlineStr">
        <is>
          <t>Baby</t>
        </is>
      </c>
      <c r="E269" s="39" t="inlineStr">
        <is>
          <t>Reliance Retail Limited</t>
        </is>
      </c>
      <c r="F269" s="41" t="inlineStr">
        <is>
          <t>North</t>
        </is>
      </c>
      <c r="G269" s="42" t="n">
        <v>0.3347</v>
      </c>
      <c r="H269" s="16">
        <f>IFERROR(G269/SUMIFS($G$4:$G$1504,$C$4:$C$1504,$C269,$D$4:$D$1504,$D269),0)</f>
        <v/>
      </c>
      <c r="I269" s="14">
        <f>$H269*SUMIFS('Forecast Engine'!$AK$4:$AK$12,'Forecast Engine'!$A$4:$A$12,$C269,'Forecast Engine'!$B$4:$B$12,$D269)</f>
        <v/>
      </c>
      <c r="J269" s="14">
        <f>$H269*SUMIFS('Forecast Engine'!$AL$4:$AL$12,'Forecast Engine'!$A$4:$A$12,$C269,'Forecast Engine'!$B$4:$B$12,$D269)</f>
        <v/>
      </c>
      <c r="K269" s="14">
        <f>$H269*SUMIFS('Forecast Engine'!$AM$4:$AM$12,'Forecast Engine'!$A$4:$A$12,$C269,'Forecast Engine'!$B$4:$B$12,$D269)</f>
        <v/>
      </c>
      <c r="L269" s="43">
        <f>SUM(I269:K269)</f>
        <v/>
      </c>
    </row>
    <row r="270">
      <c r="A270" s="39" t="inlineStr"/>
      <c r="B270" s="39" t="inlineStr"/>
      <c r="C270" s="40" t="inlineStr">
        <is>
          <t>Mamaearth</t>
        </is>
      </c>
      <c r="D270" s="40" t="inlineStr">
        <is>
          <t>Baby</t>
        </is>
      </c>
      <c r="E270" s="39" t="inlineStr">
        <is>
          <t>D-Mart</t>
        </is>
      </c>
      <c r="F270" s="41" t="inlineStr">
        <is>
          <t>West</t>
        </is>
      </c>
      <c r="G270" s="42" t="n">
        <v>0.3057</v>
      </c>
      <c r="H270" s="16">
        <f>IFERROR(G270/SUMIFS($G$4:$G$1504,$C$4:$C$1504,$C270,$D$4:$D$1504,$D270),0)</f>
        <v/>
      </c>
      <c r="I270" s="14">
        <f>$H270*SUMIFS('Forecast Engine'!$AK$4:$AK$12,'Forecast Engine'!$A$4:$A$12,$C270,'Forecast Engine'!$B$4:$B$12,$D270)</f>
        <v/>
      </c>
      <c r="J270" s="14">
        <f>$H270*SUMIFS('Forecast Engine'!$AL$4:$AL$12,'Forecast Engine'!$A$4:$A$12,$C270,'Forecast Engine'!$B$4:$B$12,$D270)</f>
        <v/>
      </c>
      <c r="K270" s="14">
        <f>$H270*SUMIFS('Forecast Engine'!$AM$4:$AM$12,'Forecast Engine'!$A$4:$A$12,$C270,'Forecast Engine'!$B$4:$B$12,$D270)</f>
        <v/>
      </c>
      <c r="L270" s="43">
        <f>SUM(I270:K270)</f>
        <v/>
      </c>
    </row>
    <row r="271">
      <c r="A271" s="39" t="inlineStr">
        <is>
          <t>10100225</t>
        </is>
      </c>
      <c r="B271" s="39" t="inlineStr">
        <is>
          <t>Milky Soft Body Lotion For Babies 400 ml</t>
        </is>
      </c>
      <c r="C271" s="40" t="inlineStr">
        <is>
          <t>Mamaearth</t>
        </is>
      </c>
      <c r="D271" s="40" t="inlineStr">
        <is>
          <t>Baby</t>
        </is>
      </c>
      <c r="E271" s="39" t="inlineStr">
        <is>
          <t>Apollo Healthco</t>
        </is>
      </c>
      <c r="F271" s="41" t="inlineStr">
        <is>
          <t>South-2</t>
        </is>
      </c>
      <c r="G271" s="42" t="n">
        <v>0.3039</v>
      </c>
      <c r="H271" s="16">
        <f>IFERROR(G271/SUMIFS($G$4:$G$1504,$C$4:$C$1504,$C271,$D$4:$D$1504,$D271),0)</f>
        <v/>
      </c>
      <c r="I271" s="14">
        <f>$H271*SUMIFS('Forecast Engine'!$AK$4:$AK$12,'Forecast Engine'!$A$4:$A$12,$C271,'Forecast Engine'!$B$4:$B$12,$D271)</f>
        <v/>
      </c>
      <c r="J271" s="14">
        <f>$H271*SUMIFS('Forecast Engine'!$AL$4:$AL$12,'Forecast Engine'!$A$4:$A$12,$C271,'Forecast Engine'!$B$4:$B$12,$D271)</f>
        <v/>
      </c>
      <c r="K271" s="14">
        <f>$H271*SUMIFS('Forecast Engine'!$AM$4:$AM$12,'Forecast Engine'!$A$4:$A$12,$C271,'Forecast Engine'!$B$4:$B$12,$D271)</f>
        <v/>
      </c>
      <c r="L271" s="43">
        <f>SUM(I271:K271)</f>
        <v/>
      </c>
    </row>
    <row r="272">
      <c r="A272" s="39" t="inlineStr">
        <is>
          <t>10100057</t>
        </is>
      </c>
      <c r="B272" s="39" t="inlineStr">
        <is>
          <t>Moisturizing Bathing Bar Soap For Babies pack of</t>
        </is>
      </c>
      <c r="C272" s="40" t="inlineStr">
        <is>
          <t>Mamaearth</t>
        </is>
      </c>
      <c r="D272" s="40" t="inlineStr">
        <is>
          <t>Baby</t>
        </is>
      </c>
      <c r="E272" s="39" t="inlineStr">
        <is>
          <t>G.V Enterprises</t>
        </is>
      </c>
      <c r="F272" s="41" t="inlineStr">
        <is>
          <t>South-1</t>
        </is>
      </c>
      <c r="G272" s="42" t="n">
        <v>0.2889</v>
      </c>
      <c r="H272" s="16">
        <f>IFERROR(G272/SUMIFS($G$4:$G$1504,$C$4:$C$1504,$C272,$D$4:$D$1504,$D272),0)</f>
        <v/>
      </c>
      <c r="I272" s="14">
        <f>$H272*SUMIFS('Forecast Engine'!$AK$4:$AK$12,'Forecast Engine'!$A$4:$A$12,$C272,'Forecast Engine'!$B$4:$B$12,$D272)</f>
        <v/>
      </c>
      <c r="J272" s="14">
        <f>$H272*SUMIFS('Forecast Engine'!$AL$4:$AL$12,'Forecast Engine'!$A$4:$A$12,$C272,'Forecast Engine'!$B$4:$B$12,$D272)</f>
        <v/>
      </c>
      <c r="K272" s="14">
        <f>$H272*SUMIFS('Forecast Engine'!$AM$4:$AM$12,'Forecast Engine'!$A$4:$A$12,$C272,'Forecast Engine'!$B$4:$B$12,$D272)</f>
        <v/>
      </c>
      <c r="L272" s="43">
        <f>SUM(I272:K272)</f>
        <v/>
      </c>
    </row>
    <row r="273">
      <c r="A273" s="39" t="inlineStr"/>
      <c r="B273" s="39" t="inlineStr"/>
      <c r="C273" s="40" t="inlineStr">
        <is>
          <t>Mamaearth</t>
        </is>
      </c>
      <c r="D273" s="40" t="inlineStr">
        <is>
          <t>Baby</t>
        </is>
      </c>
      <c r="E273" s="39" t="inlineStr">
        <is>
          <t>Reliance Retail Limited</t>
        </is>
      </c>
      <c r="F273" s="41" t="inlineStr">
        <is>
          <t>West</t>
        </is>
      </c>
      <c r="G273" s="42" t="n">
        <v>0.2822</v>
      </c>
      <c r="H273" s="16">
        <f>IFERROR(G273/SUMIFS($G$4:$G$1504,$C$4:$C$1504,$C273,$D$4:$D$1504,$D273),0)</f>
        <v/>
      </c>
      <c r="I273" s="14">
        <f>$H273*SUMIFS('Forecast Engine'!$AK$4:$AK$12,'Forecast Engine'!$A$4:$A$12,$C273,'Forecast Engine'!$B$4:$B$12,$D273)</f>
        <v/>
      </c>
      <c r="J273" s="14">
        <f>$H273*SUMIFS('Forecast Engine'!$AL$4:$AL$12,'Forecast Engine'!$A$4:$A$12,$C273,'Forecast Engine'!$B$4:$B$12,$D273)</f>
        <v/>
      </c>
      <c r="K273" s="14">
        <f>$H273*SUMIFS('Forecast Engine'!$AM$4:$AM$12,'Forecast Engine'!$A$4:$A$12,$C273,'Forecast Engine'!$B$4:$B$12,$D273)</f>
        <v/>
      </c>
      <c r="L273" s="43">
        <f>SUM(I273:K273)</f>
        <v/>
      </c>
    </row>
    <row r="274">
      <c r="A274" s="39" t="inlineStr">
        <is>
          <t>10101002</t>
        </is>
      </c>
      <c r="B274" s="39" t="inlineStr">
        <is>
          <t>ME Baby MilkySoft Head To Toe Wash 400ml</t>
        </is>
      </c>
      <c r="C274" s="40" t="inlineStr">
        <is>
          <t>Mamaearth</t>
        </is>
      </c>
      <c r="D274" s="40" t="inlineStr">
        <is>
          <t>Baby</t>
        </is>
      </c>
      <c r="E274" s="39" t="inlineStr">
        <is>
          <t>Apollo Healthco</t>
        </is>
      </c>
      <c r="F274" s="41" t="inlineStr">
        <is>
          <t>South-1</t>
        </is>
      </c>
      <c r="G274" s="42" t="n">
        <v>0.2662</v>
      </c>
      <c r="H274" s="16">
        <f>IFERROR(G274/SUMIFS($G$4:$G$1504,$C$4:$C$1504,$C274,$D$4:$D$1504,$D274),0)</f>
        <v/>
      </c>
      <c r="I274" s="14">
        <f>$H274*SUMIFS('Forecast Engine'!$AK$4:$AK$12,'Forecast Engine'!$A$4:$A$12,$C274,'Forecast Engine'!$B$4:$B$12,$D274)</f>
        <v/>
      </c>
      <c r="J274" s="14">
        <f>$H274*SUMIFS('Forecast Engine'!$AL$4:$AL$12,'Forecast Engine'!$A$4:$A$12,$C274,'Forecast Engine'!$B$4:$B$12,$D274)</f>
        <v/>
      </c>
      <c r="K274" s="14">
        <f>$H274*SUMIFS('Forecast Engine'!$AM$4:$AM$12,'Forecast Engine'!$A$4:$A$12,$C274,'Forecast Engine'!$B$4:$B$12,$D274)</f>
        <v/>
      </c>
      <c r="L274" s="43">
        <f>SUM(I274:K274)</f>
        <v/>
      </c>
    </row>
    <row r="275">
      <c r="A275" s="39" t="inlineStr"/>
      <c r="B275" s="39" t="inlineStr"/>
      <c r="C275" s="40" t="inlineStr">
        <is>
          <t>Mamaearth</t>
        </is>
      </c>
      <c r="D275" s="40" t="inlineStr">
        <is>
          <t>Baby</t>
        </is>
      </c>
      <c r="E275" s="39" t="inlineStr">
        <is>
          <t xml:space="preserve">Sancus Networks Private </t>
        </is>
      </c>
      <c r="F275" s="41" t="inlineStr">
        <is>
          <t>North</t>
        </is>
      </c>
      <c r="G275" s="42" t="n">
        <v>0.266</v>
      </c>
      <c r="H275" s="16">
        <f>IFERROR(G275/SUMIFS($G$4:$G$1504,$C$4:$C$1504,$C275,$D$4:$D$1504,$D275),0)</f>
        <v/>
      </c>
      <c r="I275" s="14">
        <f>$H275*SUMIFS('Forecast Engine'!$AK$4:$AK$12,'Forecast Engine'!$A$4:$A$12,$C275,'Forecast Engine'!$B$4:$B$12,$D275)</f>
        <v/>
      </c>
      <c r="J275" s="14">
        <f>$H275*SUMIFS('Forecast Engine'!$AL$4:$AL$12,'Forecast Engine'!$A$4:$A$12,$C275,'Forecast Engine'!$B$4:$B$12,$D275)</f>
        <v/>
      </c>
      <c r="K275" s="14">
        <f>$H275*SUMIFS('Forecast Engine'!$AM$4:$AM$12,'Forecast Engine'!$A$4:$A$12,$C275,'Forecast Engine'!$B$4:$B$12,$D275)</f>
        <v/>
      </c>
      <c r="L275" s="43">
        <f>SUM(I275:K275)</f>
        <v/>
      </c>
    </row>
    <row r="276">
      <c r="A276" s="39" t="inlineStr"/>
      <c r="B276" s="39" t="inlineStr"/>
      <c r="C276" s="40" t="inlineStr">
        <is>
          <t>Mamaearth</t>
        </is>
      </c>
      <c r="D276" s="40" t="inlineStr">
        <is>
          <t>Baby</t>
        </is>
      </c>
      <c r="E276" s="39" t="inlineStr">
        <is>
          <t>Apollo Healthco</t>
        </is>
      </c>
      <c r="F276" s="41" t="inlineStr">
        <is>
          <t>South-2</t>
        </is>
      </c>
      <c r="G276" s="42" t="n">
        <v>0.2618</v>
      </c>
      <c r="H276" s="16">
        <f>IFERROR(G276/SUMIFS($G$4:$G$1504,$C$4:$C$1504,$C276,$D$4:$D$1504,$D276),0)</f>
        <v/>
      </c>
      <c r="I276" s="14">
        <f>$H276*SUMIFS('Forecast Engine'!$AK$4:$AK$12,'Forecast Engine'!$A$4:$A$12,$C276,'Forecast Engine'!$B$4:$B$12,$D276)</f>
        <v/>
      </c>
      <c r="J276" s="14">
        <f>$H276*SUMIFS('Forecast Engine'!$AL$4:$AL$12,'Forecast Engine'!$A$4:$A$12,$C276,'Forecast Engine'!$B$4:$B$12,$D276)</f>
        <v/>
      </c>
      <c r="K276" s="14">
        <f>$H276*SUMIFS('Forecast Engine'!$AM$4:$AM$12,'Forecast Engine'!$A$4:$A$12,$C276,'Forecast Engine'!$B$4:$B$12,$D276)</f>
        <v/>
      </c>
      <c r="L276" s="43">
        <f>SUM(I276:K276)</f>
        <v/>
      </c>
    </row>
    <row r="277">
      <c r="A277" s="39" t="inlineStr">
        <is>
          <t>(various)</t>
        </is>
      </c>
      <c r="B277" s="39" t="inlineStr">
        <is>
          <t>Long-tail articles &amp; chains (residual)</t>
        </is>
      </c>
      <c r="C277" s="40" t="inlineStr">
        <is>
          <t>Mamaearth</t>
        </is>
      </c>
      <c r="D277" s="40" t="inlineStr">
        <is>
          <t>Baby</t>
        </is>
      </c>
      <c r="E277" s="39" t="inlineStr">
        <is>
          <t>(all other chains)</t>
        </is>
      </c>
      <c r="F277" s="41" t="inlineStr">
        <is>
          <t>(mixed)</t>
        </is>
      </c>
      <c r="G277" s="42" t="n">
        <v>14.2231</v>
      </c>
      <c r="H277" s="16">
        <f>IFERROR(G277/SUMIFS($G$4:$G$1504,$C$4:$C$1504,$C277,$D$4:$D$1504,$D277),0)</f>
        <v/>
      </c>
      <c r="I277" s="14">
        <f>$H277*SUMIFS('Forecast Engine'!$AK$4:$AK$12,'Forecast Engine'!$A$4:$A$12,$C277,'Forecast Engine'!$B$4:$B$12,$D277)</f>
        <v/>
      </c>
      <c r="J277" s="14">
        <f>$H277*SUMIFS('Forecast Engine'!$AL$4:$AL$12,'Forecast Engine'!$A$4:$A$12,$C277,'Forecast Engine'!$B$4:$B$12,$D277)</f>
        <v/>
      </c>
      <c r="K277" s="14">
        <f>$H277*SUMIFS('Forecast Engine'!$AM$4:$AM$12,'Forecast Engine'!$A$4:$A$12,$C277,'Forecast Engine'!$B$4:$B$12,$D277)</f>
        <v/>
      </c>
      <c r="L277" s="43">
        <f>SUM(I277:K277)</f>
        <v/>
      </c>
    </row>
    <row r="278">
      <c r="A278" s="39" t="inlineStr">
        <is>
          <t>(various)</t>
        </is>
      </c>
      <c r="B278" s="39" t="inlineStr">
        <is>
          <t>Long-tail articles &amp; chains (residual)</t>
        </is>
      </c>
      <c r="C278" s="40" t="inlineStr">
        <is>
          <t>Aqualogica</t>
        </is>
      </c>
      <c r="D278" s="40" t="inlineStr">
        <is>
          <t>Face</t>
        </is>
      </c>
      <c r="E278" s="39" t="inlineStr">
        <is>
          <t>(all other chains)</t>
        </is>
      </c>
      <c r="F278" s="41" t="inlineStr">
        <is>
          <t>(mixed)</t>
        </is>
      </c>
      <c r="G278" s="42" t="n">
        <v>6.2931</v>
      </c>
      <c r="H278" s="16">
        <f>IFERROR(G278/SUMIFS($G$4:$G$1504,$C$4:$C$1504,$C278,$D$4:$D$1504,$D278),0)</f>
        <v/>
      </c>
      <c r="I278" s="14">
        <f>$H278*SUMIFS('Forecast Engine'!$AK$4:$AK$12,'Forecast Engine'!$A$4:$A$12,$C278,'Forecast Engine'!$B$4:$B$12,$D278)</f>
        <v/>
      </c>
      <c r="J278" s="14">
        <f>$H278*SUMIFS('Forecast Engine'!$AL$4:$AL$12,'Forecast Engine'!$A$4:$A$12,$C278,'Forecast Engine'!$B$4:$B$12,$D278)</f>
        <v/>
      </c>
      <c r="K278" s="14">
        <f>$H278*SUMIFS('Forecast Engine'!$AM$4:$AM$12,'Forecast Engine'!$A$4:$A$12,$C278,'Forecast Engine'!$B$4:$B$12,$D278)</f>
        <v/>
      </c>
      <c r="L278" s="43">
        <f>SUM(I278:K278)</f>
        <v/>
      </c>
    </row>
    <row r="279">
      <c r="A279" s="39" t="inlineStr">
        <is>
          <t>(various)</t>
        </is>
      </c>
      <c r="B279" s="39" t="inlineStr">
        <is>
          <t>Long-tail articles &amp; chains (residual)</t>
        </is>
      </c>
      <c r="C279" s="40" t="inlineStr">
        <is>
          <t>BBLUNT</t>
        </is>
      </c>
      <c r="D279" s="40" t="inlineStr">
        <is>
          <t>Hair Care</t>
        </is>
      </c>
      <c r="E279" s="39" t="inlineStr">
        <is>
          <t>(all other chains)</t>
        </is>
      </c>
      <c r="F279" s="41" t="inlineStr">
        <is>
          <t>(mixed)</t>
        </is>
      </c>
      <c r="G279" s="42" t="n">
        <v>0.462</v>
      </c>
      <c r="H279" s="16">
        <f>IFERROR(G279/SUMIFS($G$4:$G$1504,$C$4:$C$1504,$C279,$D$4:$D$1504,$D279),0)</f>
        <v/>
      </c>
      <c r="I279" s="14">
        <f>$H279*SUMIFS('Forecast Engine'!$AK$4:$AK$12,'Forecast Engine'!$A$4:$A$12,$C279,'Forecast Engine'!$B$4:$B$12,$D279)</f>
        <v/>
      </c>
      <c r="J279" s="14">
        <f>$H279*SUMIFS('Forecast Engine'!$AL$4:$AL$12,'Forecast Engine'!$A$4:$A$12,$C279,'Forecast Engine'!$B$4:$B$12,$D279)</f>
        <v/>
      </c>
      <c r="K279" s="14">
        <f>$H279*SUMIFS('Forecast Engine'!$AM$4:$AM$12,'Forecast Engine'!$A$4:$A$12,$C279,'Forecast Engine'!$B$4:$B$12,$D279)</f>
        <v/>
      </c>
      <c r="L279" s="43">
        <f>SUM(I279:K279)</f>
        <v/>
      </c>
    </row>
    <row r="280">
      <c r="A280" s="39" t="inlineStr">
        <is>
          <t>(various)</t>
        </is>
      </c>
      <c r="B280" s="39" t="inlineStr">
        <is>
          <t>Long-tail articles &amp; chains (residual)</t>
        </is>
      </c>
      <c r="C280" s="40" t="inlineStr">
        <is>
          <t>Mamaearth</t>
        </is>
      </c>
      <c r="D280" s="40" t="inlineStr">
        <is>
          <t>Fragrances</t>
        </is>
      </c>
      <c r="E280" s="39" t="inlineStr">
        <is>
          <t>(all other chains)</t>
        </is>
      </c>
      <c r="F280" s="41" t="inlineStr">
        <is>
          <t>(mixed)</t>
        </is>
      </c>
      <c r="G280" s="42" t="n">
        <v>0.4163</v>
      </c>
      <c r="H280" s="16">
        <f>IFERROR(G280/SUMIFS($G$4:$G$1504,$C$4:$C$1504,$C280,$D$4:$D$1504,$D280),0)</f>
        <v/>
      </c>
      <c r="I280" s="14">
        <f>$H280*SUMIFS('Forecast Engine'!$AK$4:$AK$12,'Forecast Engine'!$A$4:$A$12,$C280,'Forecast Engine'!$B$4:$B$12,$D280)</f>
        <v/>
      </c>
      <c r="J280" s="14">
        <f>$H280*SUMIFS('Forecast Engine'!$AL$4:$AL$12,'Forecast Engine'!$A$4:$A$12,$C280,'Forecast Engine'!$B$4:$B$12,$D280)</f>
        <v/>
      </c>
      <c r="K280" s="14">
        <f>$H280*SUMIFS('Forecast Engine'!$AM$4:$AM$12,'Forecast Engine'!$A$4:$A$12,$C280,'Forecast Engine'!$B$4:$B$12,$D280)</f>
        <v/>
      </c>
      <c r="L280" s="43">
        <f>SUM(I280:K280)</f>
        <v/>
      </c>
    </row>
    <row r="281">
      <c r="A281" s="39" t="inlineStr">
        <is>
          <t>(various)</t>
        </is>
      </c>
      <c r="B281" s="39" t="inlineStr">
        <is>
          <t>Long-tail articles &amp; chains (residual)</t>
        </is>
      </c>
      <c r="C281" s="40" t="inlineStr">
        <is>
          <t>BBLUNT</t>
        </is>
      </c>
      <c r="D281" s="40" t="inlineStr">
        <is>
          <t>Styling Products</t>
        </is>
      </c>
      <c r="E281" s="39" t="inlineStr">
        <is>
          <t>(all other chains)</t>
        </is>
      </c>
      <c r="F281" s="41" t="inlineStr">
        <is>
          <t>(mixed)</t>
        </is>
      </c>
      <c r="G281" s="42" t="n">
        <v>0.3041</v>
      </c>
      <c r="H281" s="16">
        <f>IFERROR(G281/SUMIFS($G$4:$G$1504,$C$4:$C$1504,$C281,$D$4:$D$1504,$D281),0)</f>
        <v/>
      </c>
      <c r="I281" s="14">
        <f>$H281*SUMIFS('Forecast Engine'!$AK$4:$AK$12,'Forecast Engine'!$A$4:$A$12,$C281,'Forecast Engine'!$B$4:$B$12,$D281)</f>
        <v/>
      </c>
      <c r="J281" s="14">
        <f>$H281*SUMIFS('Forecast Engine'!$AL$4:$AL$12,'Forecast Engine'!$A$4:$A$12,$C281,'Forecast Engine'!$B$4:$B$12,$D281)</f>
        <v/>
      </c>
      <c r="K281" s="14">
        <f>$H281*SUMIFS('Forecast Engine'!$AM$4:$AM$12,'Forecast Engine'!$A$4:$A$12,$C281,'Forecast Engine'!$B$4:$B$12,$D281)</f>
        <v/>
      </c>
      <c r="L281" s="43">
        <f>SUM(I281:K281)</f>
        <v/>
      </c>
    </row>
    <row r="282">
      <c r="A282" s="38" t="inlineStr">
        <is>
          <t>GRAND TOTAL</t>
        </is>
      </c>
      <c r="B282" s="4" t="n"/>
      <c r="C282" s="4" t="n"/>
      <c r="D282" s="4" t="n"/>
      <c r="E282" s="4" t="n"/>
      <c r="F282" s="4" t="n"/>
      <c r="G282" s="18">
        <f>SUM(G4:G281)</f>
        <v/>
      </c>
      <c r="H282" s="4" t="n"/>
      <c r="I282" s="18">
        <f>SUM(I4:I281)</f>
        <v/>
      </c>
      <c r="J282" s="18">
        <f>SUM(J4:J281)</f>
        <v/>
      </c>
      <c r="K282" s="18">
        <f>SUM(K4:K281)</f>
        <v/>
      </c>
      <c r="L282" s="18">
        <f>SUM(L4:L281)</f>
        <v/>
      </c>
    </row>
    <row r="283">
      <c r="A283" s="44" t="inlineStr">
        <is>
          <t>Reconciles to Forecast Engine Base total (3M):</t>
        </is>
      </c>
      <c r="L283" s="45">
        <f>'Forecast Engine'!$AK$13+'Forecast Engine'!$AL$13+'Forecast Engine'!$AM$13</f>
        <v/>
      </c>
    </row>
  </sheetData>
  <autoFilter ref="A3:L281"/>
  <mergeCells count="3">
    <mergeCell ref="A283:E283"/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3" customWidth="1" min="5" max="5"/>
    <col width="13" customWidth="1" min="6" max="6"/>
  </cols>
  <sheetData>
    <row r="1" ht="26" customHeight="1">
      <c r="A1" s="1" t="inlineStr">
        <is>
          <t>SCENARIO SUMMARY  ·  Base / Optimistic / Conservative side-by-side (₹ Cr)</t>
        </is>
      </c>
    </row>
    <row r="2">
      <c r="A2" s="12" t="inlineStr">
        <is>
          <t>Company rolling 3-month forecast under all three scenarios, vs target. Switch the driver on Control Panel → these recompute instantly.</t>
        </is>
      </c>
    </row>
    <row r="3" ht="28" customHeight="1">
      <c r="A3" s="5" t="inlineStr">
        <is>
          <t>Scenario</t>
        </is>
      </c>
      <c r="B3" s="5" t="inlineStr">
        <is>
          <t>Month M</t>
        </is>
      </c>
      <c r="C3" s="5" t="inlineStr">
        <is>
          <t>Month M+1</t>
        </is>
      </c>
      <c r="D3" s="5" t="inlineStr">
        <is>
          <t>Month M+2</t>
        </is>
      </c>
      <c r="E3" s="5" t="inlineStr">
        <is>
          <t>3-Month Total</t>
        </is>
      </c>
    </row>
    <row r="4">
      <c r="A4" s="46" t="inlineStr">
        <is>
          <t>Live month →</t>
        </is>
      </c>
      <c r="B4" s="47">
        <f>'Control Panel'!$B$4</f>
        <v/>
      </c>
      <c r="C4" s="47">
        <f>'Control Panel'!$B$6</f>
        <v/>
      </c>
      <c r="D4" s="47">
        <f>'Control Panel'!$B$7</f>
        <v/>
      </c>
      <c r="E4" s="4" t="inlineStr"/>
    </row>
    <row r="5">
      <c r="A5" s="48" t="inlineStr">
        <is>
          <t>Base Case</t>
        </is>
      </c>
      <c r="B5" s="49">
        <f>'Forecast Engine'!$AK$13</f>
        <v/>
      </c>
      <c r="C5" s="49">
        <f>'Forecast Engine'!$AL$13</f>
        <v/>
      </c>
      <c r="D5" s="49">
        <f>'Forecast Engine'!$AM$13</f>
        <v/>
      </c>
      <c r="E5" s="50">
        <f>SUM(B5:D5)</f>
        <v/>
      </c>
    </row>
    <row r="6">
      <c r="A6" s="48" t="inlineStr">
        <is>
          <t>Optimistic Case</t>
        </is>
      </c>
      <c r="B6" s="49">
        <f>'Forecast Engine'!$AN$13</f>
        <v/>
      </c>
      <c r="C6" s="49">
        <f>'Forecast Engine'!$AO$13</f>
        <v/>
      </c>
      <c r="D6" s="49">
        <f>'Forecast Engine'!$AP$13</f>
        <v/>
      </c>
      <c r="E6" s="50">
        <f>SUM(B6:D6)</f>
        <v/>
      </c>
    </row>
    <row r="7">
      <c r="A7" s="48" t="inlineStr">
        <is>
          <t>Conservative Case</t>
        </is>
      </c>
      <c r="B7" s="49">
        <f>'Forecast Engine'!$AQ$13</f>
        <v/>
      </c>
      <c r="C7" s="49">
        <f>'Forecast Engine'!$AR$13</f>
        <v/>
      </c>
      <c r="D7" s="49">
        <f>'Forecast Engine'!$AS$13</f>
        <v/>
      </c>
      <c r="E7" s="50">
        <f>SUM(B7:D7)</f>
        <v/>
      </c>
    </row>
    <row r="8">
      <c r="A8" s="51" t="inlineStr">
        <is>
          <t>Target (from plan)</t>
        </is>
      </c>
      <c r="B8" s="52">
        <f>IFERROR(SUMIFS('Monthly Target Upload'!$D$4:$D$15,'Monthly Target Upload'!$A$4:$A$15,'Control Panel'!$B$4),0)</f>
        <v/>
      </c>
      <c r="C8" s="52">
        <f>IFERROR(SUMIFS('Monthly Target Upload'!$D$4:$D$15,'Monthly Target Upload'!$A$4:$A$15,'Control Panel'!$B$6),0)</f>
        <v/>
      </c>
      <c r="D8" s="52">
        <f>IFERROR(SUMIFS('Monthly Target Upload'!$D$4:$D$15,'Monthly Target Upload'!$A$4:$A$15,'Control Panel'!$B$7),0)</f>
        <v/>
      </c>
      <c r="E8" s="53">
        <f>SUM(B8:D8)</f>
        <v/>
      </c>
    </row>
    <row r="9">
      <c r="A9" s="38" t="inlineStr">
        <is>
          <t>Base vs Target (gap)</t>
        </is>
      </c>
      <c r="B9" s="49">
        <f>B5-B8</f>
        <v/>
      </c>
      <c r="C9" s="49">
        <f>C5-C8</f>
        <v/>
      </c>
      <c r="D9" s="49">
        <f>D5-D8</f>
        <v/>
      </c>
      <c r="E9" s="50">
        <f>SUM(B9:D9)</f>
        <v/>
      </c>
    </row>
    <row r="11">
      <c r="A11" s="12" t="inlineStr">
        <is>
          <t>Brand-level Base-case forecast (3-month total, ₹ Cr)</t>
        </is>
      </c>
    </row>
    <row r="12" ht="28" customHeight="1">
      <c r="A12" s="5" t="inlineStr">
        <is>
          <t>Brand</t>
        </is>
      </c>
      <c r="B12" s="5" t="inlineStr">
        <is>
          <t>M</t>
        </is>
      </c>
      <c r="C12" s="5" t="inlineStr">
        <is>
          <t>M+1</t>
        </is>
      </c>
      <c r="D12" s="5" t="inlineStr">
        <is>
          <t>M+2</t>
        </is>
      </c>
      <c r="E12" s="5" t="inlineStr">
        <is>
          <t>3M Total</t>
        </is>
      </c>
      <c r="F12" s="5" t="inlineStr">
        <is>
          <t>% of Company</t>
        </is>
      </c>
    </row>
    <row r="13">
      <c r="A13" s="13" t="inlineStr">
        <is>
          <t>Mamaearth</t>
        </is>
      </c>
      <c r="B13" s="14">
        <f>SUMIFS('Forecast Engine'!$AK$4:$AK$12,'Forecast Engine'!$A$4:$A$12,$A13)</f>
        <v/>
      </c>
      <c r="C13" s="14">
        <f>SUMIFS('Forecast Engine'!$AL$4:$AL$12,'Forecast Engine'!$A$4:$A$12,$A13)</f>
        <v/>
      </c>
      <c r="D13" s="14">
        <f>SUMIFS('Forecast Engine'!$AM$4:$AM$12,'Forecast Engine'!$A$4:$A$12,$A13)</f>
        <v/>
      </c>
      <c r="E13" s="15">
        <f>SUM(B13:D13)</f>
        <v/>
      </c>
      <c r="F13" s="16">
        <f>IFERROR(E13/SUM($E$13:$E$16),0)</f>
        <v/>
      </c>
    </row>
    <row r="14">
      <c r="A14" s="13" t="inlineStr">
        <is>
          <t>The Derma Co.</t>
        </is>
      </c>
      <c r="B14" s="14">
        <f>SUMIFS('Forecast Engine'!$AK$4:$AK$12,'Forecast Engine'!$A$4:$A$12,$A14)</f>
        <v/>
      </c>
      <c r="C14" s="14">
        <f>SUMIFS('Forecast Engine'!$AL$4:$AL$12,'Forecast Engine'!$A$4:$A$12,$A14)</f>
        <v/>
      </c>
      <c r="D14" s="14">
        <f>SUMIFS('Forecast Engine'!$AM$4:$AM$12,'Forecast Engine'!$A$4:$A$12,$A14)</f>
        <v/>
      </c>
      <c r="E14" s="15">
        <f>SUM(B14:D14)</f>
        <v/>
      </c>
      <c r="F14" s="16">
        <f>IFERROR(E14/SUM($E$13:$E$16),0)</f>
        <v/>
      </c>
    </row>
    <row r="15">
      <c r="A15" s="13" t="inlineStr">
        <is>
          <t>Aqualogica</t>
        </is>
      </c>
      <c r="B15" s="14">
        <f>SUMIFS('Forecast Engine'!$AK$4:$AK$12,'Forecast Engine'!$A$4:$A$12,$A15)</f>
        <v/>
      </c>
      <c r="C15" s="14">
        <f>SUMIFS('Forecast Engine'!$AL$4:$AL$12,'Forecast Engine'!$A$4:$A$12,$A15)</f>
        <v/>
      </c>
      <c r="D15" s="14">
        <f>SUMIFS('Forecast Engine'!$AM$4:$AM$12,'Forecast Engine'!$A$4:$A$12,$A15)</f>
        <v/>
      </c>
      <c r="E15" s="15">
        <f>SUM(B15:D15)</f>
        <v/>
      </c>
      <c r="F15" s="16">
        <f>IFERROR(E15/SUM($E$13:$E$16),0)</f>
        <v/>
      </c>
    </row>
    <row r="16">
      <c r="A16" s="13" t="inlineStr">
        <is>
          <t>BBLUNT</t>
        </is>
      </c>
      <c r="B16" s="14">
        <f>SUMIFS('Forecast Engine'!$AK$4:$AK$12,'Forecast Engine'!$A$4:$A$12,$A16)</f>
        <v/>
      </c>
      <c r="C16" s="14">
        <f>SUMIFS('Forecast Engine'!$AL$4:$AL$12,'Forecast Engine'!$A$4:$A$12,$A16)</f>
        <v/>
      </c>
      <c r="D16" s="14">
        <f>SUMIFS('Forecast Engine'!$AM$4:$AM$12,'Forecast Engine'!$A$4:$A$12,$A16)</f>
        <v/>
      </c>
      <c r="E16" s="15">
        <f>SUM(B16:D16)</f>
        <v/>
      </c>
      <c r="F16" s="16">
        <f>IFERROR(E16/SUM($E$13:$E$16),0)</f>
        <v/>
      </c>
    </row>
  </sheetData>
  <mergeCells count="3">
    <mergeCell ref="A11:L11"/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70" customWidth="1" min="4" max="4"/>
  </cols>
  <sheetData>
    <row r="1" ht="26" customHeight="1">
      <c r="A1" s="1" t="inlineStr">
        <is>
          <t>AI BUSINESS INSIGHTS  ·  auto-generated executive commentary</t>
        </is>
      </c>
    </row>
    <row r="2">
      <c r="A2" s="12" t="inlineStr">
        <is>
          <t>Sentences below are live formulas over the forecast, target and accuracy engines — they update as inputs change. Green = opportunity, red = risk.</t>
        </is>
      </c>
    </row>
    <row r="3">
      <c r="A3" s="12" t="inlineStr">
        <is>
          <t>Portfolio headline</t>
        </is>
      </c>
    </row>
    <row r="4" ht="30" customHeight="1">
      <c r="A4" s="54">
        <f>"Selected scenario ("&amp;'Control Panel'!$B$5&amp;") projects ₹"&amp;TEXT(('Forecast Engine'!$AT$13+'Forecast Engine'!$AU$13+'Forecast Engine'!$AV$13),"0.0")&amp;" Cr over "&amp;'Control Panel'!$B$4&amp;"–"&amp;'Control Panel'!$B$7&amp;" vs ₹"&amp;TEXT((SUMIFS('Monthly Target Upload'!$D$4:$D$15,'Monthly Target Upload'!$A$4:$A$15,'Control Panel'!$B$4)+SUMIFS('Monthly Target Upload'!$D$4:$D$15,'Monthly Target Upload'!$A$4:$A$15,'Control Panel'!$B$6)+SUMIFS('Monthly Target Upload'!$D$4:$D$15,'Monthly Target Upload'!$A$4:$A$15,'Control Panel'!$B$7)),"0.0")&amp;" Cr target — a "&amp;IF(('Forecast Engine'!$AT$13+'Forecast Engine'!$AU$13+'Forecast Engine'!$AV$13)&gt;=(SUMIFS('Monthly Target Upload'!$D$4:$D$15,'Monthly Target Upload'!$A$4:$A$15,'Control Panel'!$B$4)+SUMIFS('Monthly Target Upload'!$D$4:$D$15,'Monthly Target Upload'!$A$4:$A$15,'Control Panel'!$B$6)+SUMIFS('Monthly Target Upload'!$D$4:$D$15,'Monthly Target Upload'!$A$4:$A$15,'Control Panel'!$B$7)),"surplus of ₹","gap of ₹")&amp;TEXT(ABS(('Forecast Engine'!$AT$13+'Forecast Engine'!$AU$13+'Forecast Engine'!$AV$13)-(SUMIFS('Monthly Target Upload'!$D$4:$D$15,'Monthly Target Upload'!$A$4:$A$15,'Control Panel'!$B$4)+SUMIFS('Monthly Target Upload'!$D$4:$D$15,'Monthly Target Upload'!$A$4:$A$15,'Control Panel'!$B$6)+SUMIFS('Monthly Target Upload'!$D$4:$D$15,'Monthly Target Upload'!$A$4:$A$15,'Control Panel'!$B$7))),"0.0")&amp;" Cr ("&amp;TEXT(IFERROR(('Forecast Engine'!$AT$13+'Forecast Engine'!$AU$13+'Forecast Engine'!$AV$13)/(SUMIFS('Monthly Target Upload'!$D$4:$D$15,'Monthly Target Upload'!$A$4:$A$15,'Control Panel'!$B$4)+SUMIFS('Monthly Target Upload'!$D$4:$D$15,'Monthly Target Upload'!$A$4:$A$15,'Control Panel'!$B$6)+SUMIFS('Monthly Target Upload'!$D$4:$D$15,'Monthly Target Upload'!$A$4:$A$15,'Control Panel'!$B$7))-1,0),"+0.0%;-0.0%")&amp;")."</f>
        <v/>
      </c>
    </row>
    <row r="6">
      <c r="A6" s="12" t="inlineStr">
        <is>
          <t>Brand signals (momentum, inventory, target risk)</t>
        </is>
      </c>
    </row>
    <row r="7" ht="28" customHeight="1">
      <c r="A7" s="5" t="inlineStr">
        <is>
          <t>Brand</t>
        </is>
      </c>
      <c r="B7" s="5" t="inlineStr">
        <is>
          <t>Base 3M (₹ Cr)</t>
        </is>
      </c>
      <c r="C7" s="5" t="inlineStr">
        <is>
          <t>Momentum</t>
        </is>
      </c>
      <c r="D7" s="5" t="inlineStr">
        <is>
          <t>Commentary</t>
        </is>
      </c>
    </row>
    <row r="8">
      <c r="A8" s="55" t="inlineStr">
        <is>
          <t>Mamaearth</t>
        </is>
      </c>
      <c r="B8" s="14">
        <f>SUMIFS('Forecast Engine'!$AK$4:$AK$12,'Forecast Engine'!$A$4:$A$12,$A8)+SUMIFS('Forecast Engine'!$AL$4:$AL$12,'Forecast Engine'!$A$4:$A$12,$A8)+SUMIFS('Forecast Engine'!$AM$4:$AM$12,'Forecast Engine'!$A$4:$A$12,$A8)</f>
        <v/>
      </c>
      <c r="C8" s="16">
        <f>IFERROR(SUMIFS('Forecast Engine'!$AH$4:$AH$12,'Forecast Engine'!$A$4:$A$12,$A8)/SUMIFS('Forecast Engine'!$AB$4:$AB$12,'Forecast Engine'!$A$4:$A$12,$A8)-1,0)</f>
        <v/>
      </c>
      <c r="D8" s="56">
        <f>IF(C8&gt;=0.03,"Positive momentum — protect availability &amp; raise safety stock.",IF(C8&lt;=-0.03,"Losing momentum — review promo depth, assortment &amp; competitive activity.","Stable trajectory — hold plan, monitor sell-through."))</f>
        <v/>
      </c>
    </row>
    <row r="9">
      <c r="A9" s="55" t="inlineStr">
        <is>
          <t>The Derma Co.</t>
        </is>
      </c>
      <c r="B9" s="14">
        <f>SUMIFS('Forecast Engine'!$AK$4:$AK$12,'Forecast Engine'!$A$4:$A$12,$A9)+SUMIFS('Forecast Engine'!$AL$4:$AL$12,'Forecast Engine'!$A$4:$A$12,$A9)+SUMIFS('Forecast Engine'!$AM$4:$AM$12,'Forecast Engine'!$A$4:$A$12,$A9)</f>
        <v/>
      </c>
      <c r="C9" s="16">
        <f>IFERROR(SUMIFS('Forecast Engine'!$AH$4:$AH$12,'Forecast Engine'!$A$4:$A$12,$A9)/SUMIFS('Forecast Engine'!$AB$4:$AB$12,'Forecast Engine'!$A$4:$A$12,$A9)-1,0)</f>
        <v/>
      </c>
      <c r="D9" s="56">
        <f>IF(C9&gt;=0.03,"Positive momentum — protect availability &amp; raise safety stock.",IF(C9&lt;=-0.03,"Losing momentum — review promo depth, assortment &amp; competitive activity.","Stable trajectory — hold plan, monitor sell-through."))</f>
        <v/>
      </c>
    </row>
    <row r="10">
      <c r="A10" s="55" t="inlineStr">
        <is>
          <t>Aqualogica</t>
        </is>
      </c>
      <c r="B10" s="14">
        <f>SUMIFS('Forecast Engine'!$AK$4:$AK$12,'Forecast Engine'!$A$4:$A$12,$A10)+SUMIFS('Forecast Engine'!$AL$4:$AL$12,'Forecast Engine'!$A$4:$A$12,$A10)+SUMIFS('Forecast Engine'!$AM$4:$AM$12,'Forecast Engine'!$A$4:$A$12,$A10)</f>
        <v/>
      </c>
      <c r="C10" s="16">
        <f>IFERROR(SUMIFS('Forecast Engine'!$AH$4:$AH$12,'Forecast Engine'!$A$4:$A$12,$A10)/SUMIFS('Forecast Engine'!$AB$4:$AB$12,'Forecast Engine'!$A$4:$A$12,$A10)-1,0)</f>
        <v/>
      </c>
      <c r="D10" s="56">
        <f>IF(C10&gt;=0.03,"Positive momentum — protect availability &amp; raise safety stock.",IF(C10&lt;=-0.03,"Losing momentum — review promo depth, assortment &amp; competitive activity.","Stable trajectory — hold plan, monitor sell-through."))</f>
        <v/>
      </c>
    </row>
    <row r="11">
      <c r="A11" s="55" t="inlineStr">
        <is>
          <t>BBLUNT</t>
        </is>
      </c>
      <c r="B11" s="14">
        <f>SUMIFS('Forecast Engine'!$AK$4:$AK$12,'Forecast Engine'!$A$4:$A$12,$A11)+SUMIFS('Forecast Engine'!$AL$4:$AL$12,'Forecast Engine'!$A$4:$A$12,$A11)+SUMIFS('Forecast Engine'!$AM$4:$AM$12,'Forecast Engine'!$A$4:$A$12,$A11)</f>
        <v/>
      </c>
      <c r="C11" s="16">
        <f>IFERROR(SUMIFS('Forecast Engine'!$AH$4:$AH$12,'Forecast Engine'!$A$4:$A$12,$A11)/SUMIFS('Forecast Engine'!$AB$4:$AB$12,'Forecast Engine'!$A$4:$A$12,$A11)-1,0)</f>
        <v/>
      </c>
      <c r="D11" s="56">
        <f>IF(C11&gt;=0.03,"Positive momentum — protect availability &amp; raise safety stock.",IF(C11&lt;=-0.03,"Losing momentum — review promo depth, assortment &amp; competitive activity.","Stable trajectory — hold plan, monitor sell-through."))</f>
        <v/>
      </c>
    </row>
    <row r="13">
      <c r="A13" s="12" t="inlineStr">
        <is>
          <t>Warehouse &amp; supply flags</t>
        </is>
      </c>
    </row>
    <row r="14">
      <c r="A14" s="44">
        <f>"Warehouses see the Warehouse Optimization tab for overload alerts. Peak utilisation is driven by the Base forecast against capacity set on the Control Panel."</f>
        <v/>
      </c>
    </row>
    <row r="16">
      <c r="A16" s="12" t="inlineStr">
        <is>
          <t>Recommended actions</t>
        </is>
      </c>
    </row>
    <row r="17" ht="26" customHeight="1">
      <c r="A17" s="57">
        <f>IF(('Forecast Engine'!$AT$13+'Forecast Engine'!$AU$13+'Forecast Engine'!$AV$13)&lt;(SUMIFS('Monthly Target Upload'!$D$4:$D$15,'Monthly Target Upload'!$A$4:$A$15,'Control Panel'!$B$4)+SUMIFS('Monthly Target Upload'!$D$4:$D$15,'Monthly Target Upload'!$A$4:$A$15,'Control Panel'!$B$6)+SUMIFS('Monthly Target Upload'!$D$4:$D$15,'Monthly Target Upload'!$A$4:$A$15,'Control Panel'!$B$7)),"1 · Close the ₹"&amp;TEXT((SUMIFS('Monthly Target Upload'!$D$4:$D$15,'Monthly Target Upload'!$A$4:$A$15,'Control Panel'!$B$4)+SUMIFS('Monthly Target Upload'!$D$4:$D$15,'Monthly Target Upload'!$A$4:$A$15,'Control Panel'!$B$6)+SUMIFS('Monthly Target Upload'!$D$4:$D$15,'Monthly Target Upload'!$A$4:$A$15,'Control Panel'!$B$7))-('Forecast Engine'!$AT$13+'Forecast Engine'!$AU$13+'Forecast Engine'!$AV$13),"0.0")&amp;" Cr gap: raise trade support on top-mix brands and pull forward NPI loading.","1 · Forecast ahead of target — protect service levels and lock incremental supply.")</f>
        <v/>
      </c>
    </row>
    <row r="18" ht="26" customHeight="1">
      <c r="A18" s="57">
        <f>"2 · Prioritise safety stock for positive-momentum brands (see brand table above)."</f>
        <v/>
      </c>
    </row>
    <row r="19" ht="26" customHeight="1">
      <c r="A19" s="57">
        <f>"3 · Reallocate dispatch away from any warehouse above 100% utilisation (Warehouse Optimization tab)."</f>
        <v/>
      </c>
    </row>
    <row r="20" ht="26" customHeight="1">
      <c r="A20" s="57">
        <f>"4 · Distributors tagged High Service Risk / High Inventory in Distributor Intelligence need corrective ordering plans."</f>
        <v/>
      </c>
    </row>
    <row r="21" ht="26" customHeight="1">
      <c r="A21" s="57">
        <f>IF('Forecast Accuracy'!$B$18&gt;0.2,"5 · Model WMAPE above 20% — refine method weights / add business overrides for volatile SKUs.","5 · Forecast accuracy within tolerance — maintain current method weights.")</f>
        <v/>
      </c>
    </row>
  </sheetData>
  <mergeCells count="13">
    <mergeCell ref="A1:J1"/>
    <mergeCell ref="A14:J14"/>
    <mergeCell ref="A6:J6"/>
    <mergeCell ref="A16:J16"/>
    <mergeCell ref="A17:J17"/>
    <mergeCell ref="A18:J18"/>
    <mergeCell ref="A3:J3"/>
    <mergeCell ref="A21:J21"/>
    <mergeCell ref="A4:J4"/>
    <mergeCell ref="A19:J19"/>
    <mergeCell ref="A20:J20"/>
    <mergeCell ref="A2:J2"/>
    <mergeCell ref="A13:J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26" customWidth="1" min="4" max="4"/>
    <col width="12" customWidth="1" min="5" max="5"/>
    <col width="17" customWidth="1" min="6" max="6"/>
    <col width="14" customWidth="1" min="7" max="7"/>
    <col width="13" customWidth="1" min="8" max="8"/>
    <col width="10" customWidth="1" min="9" max="9"/>
    <col width="20" customWidth="1" min="10" max="10"/>
  </cols>
  <sheetData>
    <row r="1" ht="26" customHeight="1">
      <c r="A1" s="1" t="inlineStr">
        <is>
          <t>DEMAND PLANNER WORKBENCH  ·  manual overrides with audit trail</t>
        </is>
      </c>
    </row>
    <row r="2">
      <c r="A2" s="12" t="inlineStr">
        <is>
          <t>Planners adjust the forecast at any level and record WHY. 'System Forecast' looks up the engine (Brand×Category); 'Final' uses the override when present; Variance + audit columns preserve the trail. This mirrors SAP IBP / Kinaxis / Blue Yonder override handling.</t>
        </is>
      </c>
    </row>
    <row r="3" ht="28" customHeight="1">
      <c r="A3" s="5" t="inlineStr">
        <is>
          <t>Date</t>
        </is>
      </c>
      <c r="B3" s="5" t="inlineStr">
        <is>
          <t>Planner</t>
        </is>
      </c>
      <c r="C3" s="5" t="inlineStr">
        <is>
          <t>Level</t>
        </is>
      </c>
      <c r="D3" s="5" t="inlineStr">
        <is>
          <t>Key (Brand or Brand|Category)</t>
        </is>
      </c>
      <c r="E3" s="5" t="inlineStr">
        <is>
          <t>Target Month</t>
        </is>
      </c>
      <c r="F3" s="5" t="inlineStr">
        <is>
          <t>System Forecast (₹ Cr)</t>
        </is>
      </c>
      <c r="G3" s="5" t="inlineStr">
        <is>
          <t>Override (₹ Cr)</t>
        </is>
      </c>
      <c r="H3" s="5" t="inlineStr">
        <is>
          <t>Final (₹ Cr)</t>
        </is>
      </c>
      <c r="I3" s="5" t="inlineStr">
        <is>
          <t>Variance</t>
        </is>
      </c>
      <c r="J3" s="5" t="inlineStr">
        <is>
          <t>Reason</t>
        </is>
      </c>
    </row>
    <row r="4">
      <c r="A4" s="58" t="inlineStr">
        <is>
          <t>2026-06-01</t>
        </is>
      </c>
      <c r="B4" s="58" t="inlineStr">
        <is>
          <t>S. Aswal</t>
        </is>
      </c>
      <c r="C4" s="58" t="inlineStr">
        <is>
          <t>Brand|Category</t>
        </is>
      </c>
      <c r="D4" s="58" t="inlineStr">
        <is>
          <t>Mamaearth|Sun Care</t>
        </is>
      </c>
      <c r="E4" s="58" t="inlineStr">
        <is>
          <t>Jun'26</t>
        </is>
      </c>
      <c r="F4" s="14">
        <f>IFERROR(IF($E4='Control Panel'!$B$4,IF(ISNUMBER(SEARCH("|",$D4)),SUMIFS('Forecast Engine'!$AK$4:$AK$12,'Forecast Engine'!$A$4:$A$12,LEFT($D4,IFERROR(SEARCH("|",$D4)-1,LEN($D4))),'Forecast Engine'!$B$4:$B$12,MID($D4,IFERROR(SEARCH("|",$D4)+1,LEN($D4)+1),50)),SUMIFS('Forecast Engine'!$AK$4:$AK$12,'Forecast Engine'!$A$4:$A$12,LEFT($D4,IFERROR(SEARCH("|",$D4)-1,LEN($D4))))),IF($E4='Control Panel'!$B$6,IF(ISNUMBER(SEARCH("|",$D4)),SUMIFS('Forecast Engine'!$AL$4:$AL$12,'Forecast Engine'!$A$4:$A$12,LEFT($D4,IFERROR(SEARCH("|",$D4)-1,LEN($D4))),'Forecast Engine'!$B$4:$B$12,MID($D4,IFERROR(SEARCH("|",$D4)+1,LEN($D4)+1),50)),SUMIFS('Forecast Engine'!$AL$4:$AL$12,'Forecast Engine'!$A$4:$A$12,LEFT($D4,IFERROR(SEARCH("|",$D4)-1,LEN($D4))))),IF($E4='Control Panel'!$B$7,IF(ISNUMBER(SEARCH("|",$D4)),SUMIFS('Forecast Engine'!$AM$4:$AM$12,'Forecast Engine'!$A$4:$A$12,LEFT($D4,IFERROR(SEARCH("|",$D4)-1,LEN($D4))),'Forecast Engine'!$B$4:$B$12,MID($D4,IFERROR(SEARCH("|",$D4)+1,LEN($D4)+1),50)),SUMIFS('Forecast Engine'!$AM$4:$AM$12,'Forecast Engine'!$A$4:$A$12,LEFT($D4,IFERROR(SEARCH("|",$D4)-1,LEN($D4))))),0))),0)</f>
        <v/>
      </c>
      <c r="G4" s="59" t="n">
        <v>2.5</v>
      </c>
      <c r="H4" s="35">
        <f>IF(G4&lt;&gt;"",G4,F4)</f>
        <v/>
      </c>
      <c r="I4" s="16">
        <f>IFERROR(H4/F4-1,0)</f>
        <v/>
      </c>
      <c r="J4" s="58" t="inlineStr">
        <is>
          <t>Promotion</t>
        </is>
      </c>
    </row>
    <row r="5">
      <c r="A5" s="58" t="inlineStr">
        <is>
          <t>2026-06-01</t>
        </is>
      </c>
      <c r="B5" s="58" t="inlineStr">
        <is>
          <t>S. Aswal</t>
        </is>
      </c>
      <c r="C5" s="58" t="inlineStr">
        <is>
          <t>Brand</t>
        </is>
      </c>
      <c r="D5" s="58" t="inlineStr">
        <is>
          <t>The Derma Co.</t>
        </is>
      </c>
      <c r="E5" s="58" t="inlineStr">
        <is>
          <t>Jul'26</t>
        </is>
      </c>
      <c r="F5" s="14">
        <f>IFERROR(IF($E5='Control Panel'!$B$4,IF(ISNUMBER(SEARCH("|",$D5)),SUMIFS('Forecast Engine'!$AK$4:$AK$12,'Forecast Engine'!$A$4:$A$12,LEFT($D5,IFERROR(SEARCH("|",$D5)-1,LEN($D5))),'Forecast Engine'!$B$4:$B$12,MID($D5,IFERROR(SEARCH("|",$D5)+1,LEN($D5)+1),50)),SUMIFS('Forecast Engine'!$AK$4:$AK$12,'Forecast Engine'!$A$4:$A$12,LEFT($D5,IFERROR(SEARCH("|",$D5)-1,LEN($D5))))),IF($E5='Control Panel'!$B$6,IF(ISNUMBER(SEARCH("|",$D5)),SUMIFS('Forecast Engine'!$AL$4:$AL$12,'Forecast Engine'!$A$4:$A$12,LEFT($D5,IFERROR(SEARCH("|",$D5)-1,LEN($D5))),'Forecast Engine'!$B$4:$B$12,MID($D5,IFERROR(SEARCH("|",$D5)+1,LEN($D5)+1),50)),SUMIFS('Forecast Engine'!$AL$4:$AL$12,'Forecast Engine'!$A$4:$A$12,LEFT($D5,IFERROR(SEARCH("|",$D5)-1,LEN($D5))))),IF($E5='Control Panel'!$B$7,IF(ISNUMBER(SEARCH("|",$D5)),SUMIFS('Forecast Engine'!$AM$4:$AM$12,'Forecast Engine'!$A$4:$A$12,LEFT($D5,IFERROR(SEARCH("|",$D5)-1,LEN($D5))),'Forecast Engine'!$B$4:$B$12,MID($D5,IFERROR(SEARCH("|",$D5)+1,LEN($D5)+1),50)),SUMIFS('Forecast Engine'!$AM$4:$AM$12,'Forecast Engine'!$A$4:$A$12,LEFT($D5,IFERROR(SEARCH("|",$D5)-1,LEN($D5))))),0))),0)</f>
        <v/>
      </c>
      <c r="G5" s="59" t="n"/>
      <c r="H5" s="35">
        <f>IF(G5&lt;&gt;"",G5,F5)</f>
        <v/>
      </c>
      <c r="I5" s="16">
        <f>IFERROR(H5/F5-1,0)</f>
        <v/>
      </c>
      <c r="J5" s="58" t="inlineStr">
        <is>
          <t>Listing Expansion</t>
        </is>
      </c>
    </row>
    <row r="6">
      <c r="A6" s="60" t="n"/>
      <c r="B6" s="60" t="n"/>
      <c r="C6" s="60" t="n"/>
      <c r="D6" s="60" t="n"/>
      <c r="E6" s="60" t="n"/>
      <c r="F6" s="14">
        <f>IFERROR(IF($E6='Control Panel'!$B$4,IF(ISNUMBER(SEARCH("|",$D6)),SUMIFS('Forecast Engine'!$AK$4:$AK$12,'Forecast Engine'!$A$4:$A$12,LEFT($D6,IFERROR(SEARCH("|",$D6)-1,LEN($D6))),'Forecast Engine'!$B$4:$B$12,MID($D6,IFERROR(SEARCH("|",$D6)+1,LEN($D6)+1),50)),SUMIFS('Forecast Engine'!$AK$4:$AK$12,'Forecast Engine'!$A$4:$A$12,LEFT($D6,IFERROR(SEARCH("|",$D6)-1,LEN($D6))))),IF($E6='Control Panel'!$B$6,IF(ISNUMBER(SEARCH("|",$D6)),SUMIFS('Forecast Engine'!$AL$4:$AL$12,'Forecast Engine'!$A$4:$A$12,LEFT($D6,IFERROR(SEARCH("|",$D6)-1,LEN($D6))),'Forecast Engine'!$B$4:$B$12,MID($D6,IFERROR(SEARCH("|",$D6)+1,LEN($D6)+1),50)),SUMIFS('Forecast Engine'!$AL$4:$AL$12,'Forecast Engine'!$A$4:$A$12,LEFT($D6,IFERROR(SEARCH("|",$D6)-1,LEN($D6))))),IF($E6='Control Panel'!$B$7,IF(ISNUMBER(SEARCH("|",$D6)),SUMIFS('Forecast Engine'!$AM$4:$AM$12,'Forecast Engine'!$A$4:$A$12,LEFT($D6,IFERROR(SEARCH("|",$D6)-1,LEN($D6))),'Forecast Engine'!$B$4:$B$12,MID($D6,IFERROR(SEARCH("|",$D6)+1,LEN($D6)+1),50)),SUMIFS('Forecast Engine'!$AM$4:$AM$12,'Forecast Engine'!$A$4:$A$12,LEFT($D6,IFERROR(SEARCH("|",$D6)-1,LEN($D6))))),0))),0)</f>
        <v/>
      </c>
      <c r="G6" s="60" t="n"/>
      <c r="H6" s="14">
        <f>IF(G6&lt;&gt;"",G6,F6)</f>
        <v/>
      </c>
      <c r="I6" s="16">
        <f>IFERROR(H6/F6-1,0)</f>
        <v/>
      </c>
      <c r="J6" s="60" t="n"/>
    </row>
    <row r="7">
      <c r="A7" s="60" t="n"/>
      <c r="B7" s="60" t="n"/>
      <c r="C7" s="60" t="n"/>
      <c r="D7" s="60" t="n"/>
      <c r="E7" s="60" t="n"/>
      <c r="F7" s="14">
        <f>IFERROR(IF($E7='Control Panel'!$B$4,IF(ISNUMBER(SEARCH("|",$D7)),SUMIFS('Forecast Engine'!$AK$4:$AK$12,'Forecast Engine'!$A$4:$A$12,LEFT($D7,IFERROR(SEARCH("|",$D7)-1,LEN($D7))),'Forecast Engine'!$B$4:$B$12,MID($D7,IFERROR(SEARCH("|",$D7)+1,LEN($D7)+1),50)),SUMIFS('Forecast Engine'!$AK$4:$AK$12,'Forecast Engine'!$A$4:$A$12,LEFT($D7,IFERROR(SEARCH("|",$D7)-1,LEN($D7))))),IF($E7='Control Panel'!$B$6,IF(ISNUMBER(SEARCH("|",$D7)),SUMIFS('Forecast Engine'!$AL$4:$AL$12,'Forecast Engine'!$A$4:$A$12,LEFT($D7,IFERROR(SEARCH("|",$D7)-1,LEN($D7))),'Forecast Engine'!$B$4:$B$12,MID($D7,IFERROR(SEARCH("|",$D7)+1,LEN($D7)+1),50)),SUMIFS('Forecast Engine'!$AL$4:$AL$12,'Forecast Engine'!$A$4:$A$12,LEFT($D7,IFERROR(SEARCH("|",$D7)-1,LEN($D7))))),IF($E7='Control Panel'!$B$7,IF(ISNUMBER(SEARCH("|",$D7)),SUMIFS('Forecast Engine'!$AM$4:$AM$12,'Forecast Engine'!$A$4:$A$12,LEFT($D7,IFERROR(SEARCH("|",$D7)-1,LEN($D7))),'Forecast Engine'!$B$4:$B$12,MID($D7,IFERROR(SEARCH("|",$D7)+1,LEN($D7)+1),50)),SUMIFS('Forecast Engine'!$AM$4:$AM$12,'Forecast Engine'!$A$4:$A$12,LEFT($D7,IFERROR(SEARCH("|",$D7)-1,LEN($D7))))),0))),0)</f>
        <v/>
      </c>
      <c r="G7" s="60" t="n"/>
      <c r="H7" s="14">
        <f>IF(G7&lt;&gt;"",G7,F7)</f>
        <v/>
      </c>
      <c r="I7" s="16">
        <f>IFERROR(H7/F7-1,0)</f>
        <v/>
      </c>
      <c r="J7" s="60" t="n"/>
    </row>
    <row r="8">
      <c r="A8" s="60" t="n"/>
      <c r="B8" s="60" t="n"/>
      <c r="C8" s="60" t="n"/>
      <c r="D8" s="60" t="n"/>
      <c r="E8" s="60" t="n"/>
      <c r="F8" s="14">
        <f>IFERROR(IF($E8='Control Panel'!$B$4,IF(ISNUMBER(SEARCH("|",$D8)),SUMIFS('Forecast Engine'!$AK$4:$AK$12,'Forecast Engine'!$A$4:$A$12,LEFT($D8,IFERROR(SEARCH("|",$D8)-1,LEN($D8))),'Forecast Engine'!$B$4:$B$12,MID($D8,IFERROR(SEARCH("|",$D8)+1,LEN($D8)+1),50)),SUMIFS('Forecast Engine'!$AK$4:$AK$12,'Forecast Engine'!$A$4:$A$12,LEFT($D8,IFERROR(SEARCH("|",$D8)-1,LEN($D8))))),IF($E8='Control Panel'!$B$6,IF(ISNUMBER(SEARCH("|",$D8)),SUMIFS('Forecast Engine'!$AL$4:$AL$12,'Forecast Engine'!$A$4:$A$12,LEFT($D8,IFERROR(SEARCH("|",$D8)-1,LEN($D8))),'Forecast Engine'!$B$4:$B$12,MID($D8,IFERROR(SEARCH("|",$D8)+1,LEN($D8)+1),50)),SUMIFS('Forecast Engine'!$AL$4:$AL$12,'Forecast Engine'!$A$4:$A$12,LEFT($D8,IFERROR(SEARCH("|",$D8)-1,LEN($D8))))),IF($E8='Control Panel'!$B$7,IF(ISNUMBER(SEARCH("|",$D8)),SUMIFS('Forecast Engine'!$AM$4:$AM$12,'Forecast Engine'!$A$4:$A$12,LEFT($D8,IFERROR(SEARCH("|",$D8)-1,LEN($D8))),'Forecast Engine'!$B$4:$B$12,MID($D8,IFERROR(SEARCH("|",$D8)+1,LEN($D8)+1),50)),SUMIFS('Forecast Engine'!$AM$4:$AM$12,'Forecast Engine'!$A$4:$A$12,LEFT($D8,IFERROR(SEARCH("|",$D8)-1,LEN($D8))))),0))),0)</f>
        <v/>
      </c>
      <c r="G8" s="60" t="n"/>
      <c r="H8" s="14">
        <f>IF(G8&lt;&gt;"",G8,F8)</f>
        <v/>
      </c>
      <c r="I8" s="16">
        <f>IFERROR(H8/F8-1,0)</f>
        <v/>
      </c>
      <c r="J8" s="60" t="n"/>
    </row>
    <row r="9">
      <c r="A9" s="60" t="n"/>
      <c r="B9" s="60" t="n"/>
      <c r="C9" s="60" t="n"/>
      <c r="D9" s="60" t="n"/>
      <c r="E9" s="60" t="n"/>
      <c r="F9" s="14">
        <f>IFERROR(IF($E9='Control Panel'!$B$4,IF(ISNUMBER(SEARCH("|",$D9)),SUMIFS('Forecast Engine'!$AK$4:$AK$12,'Forecast Engine'!$A$4:$A$12,LEFT($D9,IFERROR(SEARCH("|",$D9)-1,LEN($D9))),'Forecast Engine'!$B$4:$B$12,MID($D9,IFERROR(SEARCH("|",$D9)+1,LEN($D9)+1),50)),SUMIFS('Forecast Engine'!$AK$4:$AK$12,'Forecast Engine'!$A$4:$A$12,LEFT($D9,IFERROR(SEARCH("|",$D9)-1,LEN($D9))))),IF($E9='Control Panel'!$B$6,IF(ISNUMBER(SEARCH("|",$D9)),SUMIFS('Forecast Engine'!$AL$4:$AL$12,'Forecast Engine'!$A$4:$A$12,LEFT($D9,IFERROR(SEARCH("|",$D9)-1,LEN($D9))),'Forecast Engine'!$B$4:$B$12,MID($D9,IFERROR(SEARCH("|",$D9)+1,LEN($D9)+1),50)),SUMIFS('Forecast Engine'!$AL$4:$AL$12,'Forecast Engine'!$A$4:$A$12,LEFT($D9,IFERROR(SEARCH("|",$D9)-1,LEN($D9))))),IF($E9='Control Panel'!$B$7,IF(ISNUMBER(SEARCH("|",$D9)),SUMIFS('Forecast Engine'!$AM$4:$AM$12,'Forecast Engine'!$A$4:$A$12,LEFT($D9,IFERROR(SEARCH("|",$D9)-1,LEN($D9))),'Forecast Engine'!$B$4:$B$12,MID($D9,IFERROR(SEARCH("|",$D9)+1,LEN($D9)+1),50)),SUMIFS('Forecast Engine'!$AM$4:$AM$12,'Forecast Engine'!$A$4:$A$12,LEFT($D9,IFERROR(SEARCH("|",$D9)-1,LEN($D9))))),0))),0)</f>
        <v/>
      </c>
      <c r="G9" s="60" t="n"/>
      <c r="H9" s="14">
        <f>IF(G9&lt;&gt;"",G9,F9)</f>
        <v/>
      </c>
      <c r="I9" s="16">
        <f>IFERROR(H9/F9-1,0)</f>
        <v/>
      </c>
      <c r="J9" s="60" t="n"/>
    </row>
    <row r="10">
      <c r="A10" s="60" t="n"/>
      <c r="B10" s="60" t="n"/>
      <c r="C10" s="60" t="n"/>
      <c r="D10" s="60" t="n"/>
      <c r="E10" s="60" t="n"/>
      <c r="F10" s="14">
        <f>IFERROR(IF($E10='Control Panel'!$B$4,IF(ISNUMBER(SEARCH("|",$D10)),SUMIFS('Forecast Engine'!$AK$4:$AK$12,'Forecast Engine'!$A$4:$A$12,LEFT($D10,IFERROR(SEARCH("|",$D10)-1,LEN($D10))),'Forecast Engine'!$B$4:$B$12,MID($D10,IFERROR(SEARCH("|",$D10)+1,LEN($D10)+1),50)),SUMIFS('Forecast Engine'!$AK$4:$AK$12,'Forecast Engine'!$A$4:$A$12,LEFT($D10,IFERROR(SEARCH("|",$D10)-1,LEN($D10))))),IF($E10='Control Panel'!$B$6,IF(ISNUMBER(SEARCH("|",$D10)),SUMIFS('Forecast Engine'!$AL$4:$AL$12,'Forecast Engine'!$A$4:$A$12,LEFT($D10,IFERROR(SEARCH("|",$D10)-1,LEN($D10))),'Forecast Engine'!$B$4:$B$12,MID($D10,IFERROR(SEARCH("|",$D10)+1,LEN($D10)+1),50)),SUMIFS('Forecast Engine'!$AL$4:$AL$12,'Forecast Engine'!$A$4:$A$12,LEFT($D10,IFERROR(SEARCH("|",$D10)-1,LEN($D10))))),IF($E10='Control Panel'!$B$7,IF(ISNUMBER(SEARCH("|",$D10)),SUMIFS('Forecast Engine'!$AM$4:$AM$12,'Forecast Engine'!$A$4:$A$12,LEFT($D10,IFERROR(SEARCH("|",$D10)-1,LEN($D10))),'Forecast Engine'!$B$4:$B$12,MID($D10,IFERROR(SEARCH("|",$D10)+1,LEN($D10)+1),50)),SUMIFS('Forecast Engine'!$AM$4:$AM$12,'Forecast Engine'!$A$4:$A$12,LEFT($D10,IFERROR(SEARCH("|",$D10)-1,LEN($D10))))),0))),0)</f>
        <v/>
      </c>
      <c r="G10" s="60" t="n"/>
      <c r="H10" s="14">
        <f>IF(G10&lt;&gt;"",G10,F10)</f>
        <v/>
      </c>
      <c r="I10" s="16">
        <f>IFERROR(H10/F10-1,0)</f>
        <v/>
      </c>
      <c r="J10" s="60" t="n"/>
    </row>
    <row r="11">
      <c r="A11" s="60" t="n"/>
      <c r="B11" s="60" t="n"/>
      <c r="C11" s="60" t="n"/>
      <c r="D11" s="60" t="n"/>
      <c r="E11" s="60" t="n"/>
      <c r="F11" s="14">
        <f>IFERROR(IF($E11='Control Panel'!$B$4,IF(ISNUMBER(SEARCH("|",$D11)),SUMIFS('Forecast Engine'!$AK$4:$AK$12,'Forecast Engine'!$A$4:$A$12,LEFT($D11,IFERROR(SEARCH("|",$D11)-1,LEN($D11))),'Forecast Engine'!$B$4:$B$12,MID($D11,IFERROR(SEARCH("|",$D11)+1,LEN($D11)+1),50)),SUMIFS('Forecast Engine'!$AK$4:$AK$12,'Forecast Engine'!$A$4:$A$12,LEFT($D11,IFERROR(SEARCH("|",$D11)-1,LEN($D11))))),IF($E11='Control Panel'!$B$6,IF(ISNUMBER(SEARCH("|",$D11)),SUMIFS('Forecast Engine'!$AL$4:$AL$12,'Forecast Engine'!$A$4:$A$12,LEFT($D11,IFERROR(SEARCH("|",$D11)-1,LEN($D11))),'Forecast Engine'!$B$4:$B$12,MID($D11,IFERROR(SEARCH("|",$D11)+1,LEN($D11)+1),50)),SUMIFS('Forecast Engine'!$AL$4:$AL$12,'Forecast Engine'!$A$4:$A$12,LEFT($D11,IFERROR(SEARCH("|",$D11)-1,LEN($D11))))),IF($E11='Control Panel'!$B$7,IF(ISNUMBER(SEARCH("|",$D11)),SUMIFS('Forecast Engine'!$AM$4:$AM$12,'Forecast Engine'!$A$4:$A$12,LEFT($D11,IFERROR(SEARCH("|",$D11)-1,LEN($D11))),'Forecast Engine'!$B$4:$B$12,MID($D11,IFERROR(SEARCH("|",$D11)+1,LEN($D11)+1),50)),SUMIFS('Forecast Engine'!$AM$4:$AM$12,'Forecast Engine'!$A$4:$A$12,LEFT($D11,IFERROR(SEARCH("|",$D11)-1,LEN($D11))))),0))),0)</f>
        <v/>
      </c>
      <c r="G11" s="60" t="n"/>
      <c r="H11" s="14">
        <f>IF(G11&lt;&gt;"",G11,F11)</f>
        <v/>
      </c>
      <c r="I11" s="16">
        <f>IFERROR(H11/F11-1,0)</f>
        <v/>
      </c>
      <c r="J11" s="60" t="n"/>
    </row>
    <row r="12">
      <c r="A12" s="60" t="n"/>
      <c r="B12" s="60" t="n"/>
      <c r="C12" s="60" t="n"/>
      <c r="D12" s="60" t="n"/>
      <c r="E12" s="60" t="n"/>
      <c r="F12" s="14">
        <f>IFERROR(IF($E12='Control Panel'!$B$4,IF(ISNUMBER(SEARCH("|",$D12)),SUMIFS('Forecast Engine'!$AK$4:$AK$12,'Forecast Engine'!$A$4:$A$12,LEFT($D12,IFERROR(SEARCH("|",$D12)-1,LEN($D12))),'Forecast Engine'!$B$4:$B$12,MID($D12,IFERROR(SEARCH("|",$D12)+1,LEN($D12)+1),50)),SUMIFS('Forecast Engine'!$AK$4:$AK$12,'Forecast Engine'!$A$4:$A$12,LEFT($D12,IFERROR(SEARCH("|",$D12)-1,LEN($D12))))),IF($E12='Control Panel'!$B$6,IF(ISNUMBER(SEARCH("|",$D12)),SUMIFS('Forecast Engine'!$AL$4:$AL$12,'Forecast Engine'!$A$4:$A$12,LEFT($D12,IFERROR(SEARCH("|",$D12)-1,LEN($D12))),'Forecast Engine'!$B$4:$B$12,MID($D12,IFERROR(SEARCH("|",$D12)+1,LEN($D12)+1),50)),SUMIFS('Forecast Engine'!$AL$4:$AL$12,'Forecast Engine'!$A$4:$A$12,LEFT($D12,IFERROR(SEARCH("|",$D12)-1,LEN($D12))))),IF($E12='Control Panel'!$B$7,IF(ISNUMBER(SEARCH("|",$D12)),SUMIFS('Forecast Engine'!$AM$4:$AM$12,'Forecast Engine'!$A$4:$A$12,LEFT($D12,IFERROR(SEARCH("|",$D12)-1,LEN($D12))),'Forecast Engine'!$B$4:$B$12,MID($D12,IFERROR(SEARCH("|",$D12)+1,LEN($D12)+1),50)),SUMIFS('Forecast Engine'!$AM$4:$AM$12,'Forecast Engine'!$A$4:$A$12,LEFT($D12,IFERROR(SEARCH("|",$D12)-1,LEN($D12))))),0))),0)</f>
        <v/>
      </c>
      <c r="G12" s="60" t="n"/>
      <c r="H12" s="14">
        <f>IF(G12&lt;&gt;"",G12,F12)</f>
        <v/>
      </c>
      <c r="I12" s="16">
        <f>IFERROR(H12/F12-1,0)</f>
        <v/>
      </c>
      <c r="J12" s="60" t="n"/>
    </row>
    <row r="13">
      <c r="A13" s="60" t="n"/>
      <c r="B13" s="60" t="n"/>
      <c r="C13" s="60" t="n"/>
      <c r="D13" s="60" t="n"/>
      <c r="E13" s="60" t="n"/>
      <c r="F13" s="14">
        <f>IFERROR(IF($E13='Control Panel'!$B$4,IF(ISNUMBER(SEARCH("|",$D13)),SUMIFS('Forecast Engine'!$AK$4:$AK$12,'Forecast Engine'!$A$4:$A$12,LEFT($D13,IFERROR(SEARCH("|",$D13)-1,LEN($D13))),'Forecast Engine'!$B$4:$B$12,MID($D13,IFERROR(SEARCH("|",$D13)+1,LEN($D13)+1),50)),SUMIFS('Forecast Engine'!$AK$4:$AK$12,'Forecast Engine'!$A$4:$A$12,LEFT($D13,IFERROR(SEARCH("|",$D13)-1,LEN($D13))))),IF($E13='Control Panel'!$B$6,IF(ISNUMBER(SEARCH("|",$D13)),SUMIFS('Forecast Engine'!$AL$4:$AL$12,'Forecast Engine'!$A$4:$A$12,LEFT($D13,IFERROR(SEARCH("|",$D13)-1,LEN($D13))),'Forecast Engine'!$B$4:$B$12,MID($D13,IFERROR(SEARCH("|",$D13)+1,LEN($D13)+1),50)),SUMIFS('Forecast Engine'!$AL$4:$AL$12,'Forecast Engine'!$A$4:$A$12,LEFT($D13,IFERROR(SEARCH("|",$D13)-1,LEN($D13))))),IF($E13='Control Panel'!$B$7,IF(ISNUMBER(SEARCH("|",$D13)),SUMIFS('Forecast Engine'!$AM$4:$AM$12,'Forecast Engine'!$A$4:$A$12,LEFT($D13,IFERROR(SEARCH("|",$D13)-1,LEN($D13))),'Forecast Engine'!$B$4:$B$12,MID($D13,IFERROR(SEARCH("|",$D13)+1,LEN($D13)+1),50)),SUMIFS('Forecast Engine'!$AM$4:$AM$12,'Forecast Engine'!$A$4:$A$12,LEFT($D13,IFERROR(SEARCH("|",$D13)-1,LEN($D13))))),0))),0)</f>
        <v/>
      </c>
      <c r="G13" s="60" t="n"/>
      <c r="H13" s="14">
        <f>IF(G13&lt;&gt;"",G13,F13)</f>
        <v/>
      </c>
      <c r="I13" s="16">
        <f>IFERROR(H13/F13-1,0)</f>
        <v/>
      </c>
      <c r="J13" s="60" t="n"/>
    </row>
    <row r="14">
      <c r="A14" s="60" t="n"/>
      <c r="B14" s="60" t="n"/>
      <c r="C14" s="60" t="n"/>
      <c r="D14" s="60" t="n"/>
      <c r="E14" s="60" t="n"/>
      <c r="F14" s="14">
        <f>IFERROR(IF($E14='Control Panel'!$B$4,IF(ISNUMBER(SEARCH("|",$D14)),SUMIFS('Forecast Engine'!$AK$4:$AK$12,'Forecast Engine'!$A$4:$A$12,LEFT($D14,IFERROR(SEARCH("|",$D14)-1,LEN($D14))),'Forecast Engine'!$B$4:$B$12,MID($D14,IFERROR(SEARCH("|",$D14)+1,LEN($D14)+1),50)),SUMIFS('Forecast Engine'!$AK$4:$AK$12,'Forecast Engine'!$A$4:$A$12,LEFT($D14,IFERROR(SEARCH("|",$D14)-1,LEN($D14))))),IF($E14='Control Panel'!$B$6,IF(ISNUMBER(SEARCH("|",$D14)),SUMIFS('Forecast Engine'!$AL$4:$AL$12,'Forecast Engine'!$A$4:$A$12,LEFT($D14,IFERROR(SEARCH("|",$D14)-1,LEN($D14))),'Forecast Engine'!$B$4:$B$12,MID($D14,IFERROR(SEARCH("|",$D14)+1,LEN($D14)+1),50)),SUMIFS('Forecast Engine'!$AL$4:$AL$12,'Forecast Engine'!$A$4:$A$12,LEFT($D14,IFERROR(SEARCH("|",$D14)-1,LEN($D14))))),IF($E14='Control Panel'!$B$7,IF(ISNUMBER(SEARCH("|",$D14)),SUMIFS('Forecast Engine'!$AM$4:$AM$12,'Forecast Engine'!$A$4:$A$12,LEFT($D14,IFERROR(SEARCH("|",$D14)-1,LEN($D14))),'Forecast Engine'!$B$4:$B$12,MID($D14,IFERROR(SEARCH("|",$D14)+1,LEN($D14)+1),50)),SUMIFS('Forecast Engine'!$AM$4:$AM$12,'Forecast Engine'!$A$4:$A$12,LEFT($D14,IFERROR(SEARCH("|",$D14)-1,LEN($D14))))),0))),0)</f>
        <v/>
      </c>
      <c r="G14" s="60" t="n"/>
      <c r="H14" s="14">
        <f>IF(G14&lt;&gt;"",G14,F14)</f>
        <v/>
      </c>
      <c r="I14" s="16">
        <f>IFERROR(H14/F14-1,0)</f>
        <v/>
      </c>
      <c r="J14" s="60" t="n"/>
    </row>
    <row r="15">
      <c r="A15" s="60" t="n"/>
      <c r="B15" s="60" t="n"/>
      <c r="C15" s="60" t="n"/>
      <c r="D15" s="60" t="n"/>
      <c r="E15" s="60" t="n"/>
      <c r="F15" s="14">
        <f>IFERROR(IF($E15='Control Panel'!$B$4,IF(ISNUMBER(SEARCH("|",$D15)),SUMIFS('Forecast Engine'!$AK$4:$AK$12,'Forecast Engine'!$A$4:$A$12,LEFT($D15,IFERROR(SEARCH("|",$D15)-1,LEN($D15))),'Forecast Engine'!$B$4:$B$12,MID($D15,IFERROR(SEARCH("|",$D15)+1,LEN($D15)+1),50)),SUMIFS('Forecast Engine'!$AK$4:$AK$12,'Forecast Engine'!$A$4:$A$12,LEFT($D15,IFERROR(SEARCH("|",$D15)-1,LEN($D15))))),IF($E15='Control Panel'!$B$6,IF(ISNUMBER(SEARCH("|",$D15)),SUMIFS('Forecast Engine'!$AL$4:$AL$12,'Forecast Engine'!$A$4:$A$12,LEFT($D15,IFERROR(SEARCH("|",$D15)-1,LEN($D15))),'Forecast Engine'!$B$4:$B$12,MID($D15,IFERROR(SEARCH("|",$D15)+1,LEN($D15)+1),50)),SUMIFS('Forecast Engine'!$AL$4:$AL$12,'Forecast Engine'!$A$4:$A$12,LEFT($D15,IFERROR(SEARCH("|",$D15)-1,LEN($D15))))),IF($E15='Control Panel'!$B$7,IF(ISNUMBER(SEARCH("|",$D15)),SUMIFS('Forecast Engine'!$AM$4:$AM$12,'Forecast Engine'!$A$4:$A$12,LEFT($D15,IFERROR(SEARCH("|",$D15)-1,LEN($D15))),'Forecast Engine'!$B$4:$B$12,MID($D15,IFERROR(SEARCH("|",$D15)+1,LEN($D15)+1),50)),SUMIFS('Forecast Engine'!$AM$4:$AM$12,'Forecast Engine'!$A$4:$A$12,LEFT($D15,IFERROR(SEARCH("|",$D15)-1,LEN($D15))))),0))),0)</f>
        <v/>
      </c>
      <c r="G15" s="60" t="n"/>
      <c r="H15" s="14">
        <f>IF(G15&lt;&gt;"",G15,F15)</f>
        <v/>
      </c>
      <c r="I15" s="16">
        <f>IFERROR(H15/F15-1,0)</f>
        <v/>
      </c>
      <c r="J15" s="60" t="n"/>
    </row>
    <row r="16">
      <c r="A16" s="60" t="n"/>
      <c r="B16" s="60" t="n"/>
      <c r="C16" s="60" t="n"/>
      <c r="D16" s="60" t="n"/>
      <c r="E16" s="60" t="n"/>
      <c r="F16" s="14">
        <f>IFERROR(IF($E16='Control Panel'!$B$4,IF(ISNUMBER(SEARCH("|",$D16)),SUMIFS('Forecast Engine'!$AK$4:$AK$12,'Forecast Engine'!$A$4:$A$12,LEFT($D16,IFERROR(SEARCH("|",$D16)-1,LEN($D16))),'Forecast Engine'!$B$4:$B$12,MID($D16,IFERROR(SEARCH("|",$D16)+1,LEN($D16)+1),50)),SUMIFS('Forecast Engine'!$AK$4:$AK$12,'Forecast Engine'!$A$4:$A$12,LEFT($D16,IFERROR(SEARCH("|",$D16)-1,LEN($D16))))),IF($E16='Control Panel'!$B$6,IF(ISNUMBER(SEARCH("|",$D16)),SUMIFS('Forecast Engine'!$AL$4:$AL$12,'Forecast Engine'!$A$4:$A$12,LEFT($D16,IFERROR(SEARCH("|",$D16)-1,LEN($D16))),'Forecast Engine'!$B$4:$B$12,MID($D16,IFERROR(SEARCH("|",$D16)+1,LEN($D16)+1),50)),SUMIFS('Forecast Engine'!$AL$4:$AL$12,'Forecast Engine'!$A$4:$A$12,LEFT($D16,IFERROR(SEARCH("|",$D16)-1,LEN($D16))))),IF($E16='Control Panel'!$B$7,IF(ISNUMBER(SEARCH("|",$D16)),SUMIFS('Forecast Engine'!$AM$4:$AM$12,'Forecast Engine'!$A$4:$A$12,LEFT($D16,IFERROR(SEARCH("|",$D16)-1,LEN($D16))),'Forecast Engine'!$B$4:$B$12,MID($D16,IFERROR(SEARCH("|",$D16)+1,LEN($D16)+1),50)),SUMIFS('Forecast Engine'!$AM$4:$AM$12,'Forecast Engine'!$A$4:$A$12,LEFT($D16,IFERROR(SEARCH("|",$D16)-1,LEN($D16))))),0))),0)</f>
        <v/>
      </c>
      <c r="G16" s="60" t="n"/>
      <c r="H16" s="14">
        <f>IF(G16&lt;&gt;"",G16,F16)</f>
        <v/>
      </c>
      <c r="I16" s="16">
        <f>IFERROR(H16/F16-1,0)</f>
        <v/>
      </c>
      <c r="J16" s="60" t="n"/>
    </row>
    <row r="17">
      <c r="A17" s="60" t="n"/>
      <c r="B17" s="60" t="n"/>
      <c r="C17" s="60" t="n"/>
      <c r="D17" s="60" t="n"/>
      <c r="E17" s="60" t="n"/>
      <c r="F17" s="14">
        <f>IFERROR(IF($E17='Control Panel'!$B$4,IF(ISNUMBER(SEARCH("|",$D17)),SUMIFS('Forecast Engine'!$AK$4:$AK$12,'Forecast Engine'!$A$4:$A$12,LEFT($D17,IFERROR(SEARCH("|",$D17)-1,LEN($D17))),'Forecast Engine'!$B$4:$B$12,MID($D17,IFERROR(SEARCH("|",$D17)+1,LEN($D17)+1),50)),SUMIFS('Forecast Engine'!$AK$4:$AK$12,'Forecast Engine'!$A$4:$A$12,LEFT($D17,IFERROR(SEARCH("|",$D17)-1,LEN($D17))))),IF($E17='Control Panel'!$B$6,IF(ISNUMBER(SEARCH("|",$D17)),SUMIFS('Forecast Engine'!$AL$4:$AL$12,'Forecast Engine'!$A$4:$A$12,LEFT($D17,IFERROR(SEARCH("|",$D17)-1,LEN($D17))),'Forecast Engine'!$B$4:$B$12,MID($D17,IFERROR(SEARCH("|",$D17)+1,LEN($D17)+1),50)),SUMIFS('Forecast Engine'!$AL$4:$AL$12,'Forecast Engine'!$A$4:$A$12,LEFT($D17,IFERROR(SEARCH("|",$D17)-1,LEN($D17))))),IF($E17='Control Panel'!$B$7,IF(ISNUMBER(SEARCH("|",$D17)),SUMIFS('Forecast Engine'!$AM$4:$AM$12,'Forecast Engine'!$A$4:$A$12,LEFT($D17,IFERROR(SEARCH("|",$D17)-1,LEN($D17))),'Forecast Engine'!$B$4:$B$12,MID($D17,IFERROR(SEARCH("|",$D17)+1,LEN($D17)+1),50)),SUMIFS('Forecast Engine'!$AM$4:$AM$12,'Forecast Engine'!$A$4:$A$12,LEFT($D17,IFERROR(SEARCH("|",$D17)-1,LEN($D17))))),0))),0)</f>
        <v/>
      </c>
      <c r="G17" s="60" t="n"/>
      <c r="H17" s="14">
        <f>IF(G17&lt;&gt;"",G17,F17)</f>
        <v/>
      </c>
      <c r="I17" s="16">
        <f>IFERROR(H17/F17-1,0)</f>
        <v/>
      </c>
      <c r="J17" s="60" t="n"/>
    </row>
    <row r="19">
      <c r="E19" s="61" t="inlineStr">
        <is>
          <t>Total override impact (₹ Cr):</t>
        </is>
      </c>
      <c r="H19" s="62">
        <f>SUMPRODUCT((G4:G17&lt;&gt;"")*(H4:H17-F4:F17))</f>
        <v/>
      </c>
    </row>
  </sheetData>
  <mergeCells count="2">
    <mergeCell ref="A1:J1"/>
    <mergeCell ref="A2:J2"/>
  </mergeCells>
  <dataValidations count="2">
    <dataValidation sqref="C4:C17" showDropDown="0" showInputMessage="0" showErrorMessage="0" allowBlank="1" type="list">
      <formula1>"Brand,Brand|Category,Chain,State,Zone,Distributor"</formula1>
    </dataValidation>
    <dataValidation sqref="J4:J17" showDropDown="0" showInputMessage="0" showErrorMessage="0" allowBlank="1" type="list">
      <formula1>"Promotion,Listing Expansion,Competitor Activity,Stock Correction,NPI Launch,Seasonal,Distributor Feedback,Management Guidance"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N24"/>
  <sheetViews>
    <sheetView zoomScale="8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20" customWidth="1" min="3" max="3"/>
    <col width="11" customWidth="1" min="4" max="4"/>
    <col width="11" customWidth="1" min="5" max="5"/>
    <col width="16" customWidth="1" min="6" max="6"/>
    <col width="14" customWidth="1" min="7" max="7"/>
    <col width="12" customWidth="1" min="8" max="8"/>
    <col width="16" customWidth="1" min="9" max="9"/>
    <col width="10" customWidth="1" min="10" max="10"/>
    <col width="10" customWidth="1" min="11" max="11"/>
    <col width="12" customWidth="1" min="12" max="12"/>
    <col width="16" customWidth="1" min="13" max="13"/>
    <col width="11" customWidth="1" min="14" max="14"/>
    <col width="15" customWidth="1" min="15" max="15"/>
    <col width="12" customWidth="1" min="16" max="16"/>
    <col width="12" customWidth="1" min="17" max="17"/>
    <col width="10" customWidth="1" min="18" max="18"/>
    <col width="10" customWidth="1" min="19" max="19"/>
    <col width="11" customWidth="1" min="20" max="20"/>
    <col width="10" customWidth="1" min="21" max="21"/>
    <col width="12" customWidth="1" min="22" max="22"/>
    <col width="11" customWidth="1" min="23" max="23"/>
    <col width="8" customWidth="1" min="24" max="24"/>
    <col width="6" customWidth="1" min="25" max="25"/>
    <col width="6" customWidth="1" min="26" max="26"/>
    <col width="7" customWidth="1" min="27" max="27"/>
    <col width="9" customWidth="1" min="28" max="28"/>
    <col width="9" customWidth="1" min="29" max="29"/>
    <col width="8" customWidth="1" min="30" max="30"/>
    <col width="8" customWidth="1" min="31" max="31"/>
    <col width="8" customWidth="1" min="32" max="32"/>
    <col width="9" customWidth="1" min="33" max="33"/>
    <col width="9" customWidth="1" min="34" max="34"/>
    <col width="9" customWidth="1" min="35" max="35"/>
    <col width="7" customWidth="1" min="36" max="36"/>
    <col width="7" customWidth="1" min="37" max="37"/>
    <col width="7" customWidth="1" min="38" max="38"/>
    <col width="13" customWidth="1" min="39" max="39"/>
    <col width="11" customWidth="1" min="40" max="40"/>
  </cols>
  <sheetData>
    <row r="1" ht="26" customHeight="1">
      <c r="A1" s="1" t="inlineStr">
        <is>
          <t>BUSINESS_EVENT_MASTER  ·  one row per business activity (only Approved rows affect forecast)</t>
        </is>
      </c>
    </row>
    <row r="2">
      <c r="A2" s="12" t="inlineStr">
        <is>
          <t>Enter events at any grain. Incremental demand is computed automatically from % uplift, fixed additional qty, and/or distribution gain (stores × units), weighted by Confidence × Priority × Seasonality and shaped by the ramp/decay curves. Baseline is never overwritten.</t>
        </is>
      </c>
    </row>
    <row r="3" ht="30" customHeight="1">
      <c r="A3" s="30" t="inlineStr">
        <is>
          <t>Event ID</t>
        </is>
      </c>
      <c r="B3" s="30" t="inlineStr">
        <is>
          <t>Event Name</t>
        </is>
      </c>
      <c r="C3" s="30" t="inlineStr">
        <is>
          <t>Event Type</t>
        </is>
      </c>
      <c r="D3" s="30" t="inlineStr">
        <is>
          <t>Start Month</t>
        </is>
      </c>
      <c r="E3" s="30" t="inlineStr">
        <is>
          <t>End Month</t>
        </is>
      </c>
      <c r="F3" s="30" t="inlineStr">
        <is>
          <t>Chain</t>
        </is>
      </c>
      <c r="G3" s="30" t="inlineStr">
        <is>
          <t>Brand</t>
        </is>
      </c>
      <c r="H3" s="30" t="inlineStr">
        <is>
          <t>Category</t>
        </is>
      </c>
      <c r="I3" s="30" t="inlineStr">
        <is>
          <t>Article</t>
        </is>
      </c>
      <c r="J3" s="30" t="inlineStr">
        <is>
          <t>Region</t>
        </is>
      </c>
      <c r="K3" s="30" t="inlineStr">
        <is>
          <t>Zone</t>
        </is>
      </c>
      <c r="L3" s="30" t="inlineStr">
        <is>
          <t>State</t>
        </is>
      </c>
      <c r="M3" s="30" t="inlineStr">
        <is>
          <t>Distributor</t>
        </is>
      </c>
      <c r="N3" s="30" t="inlineStr">
        <is>
          <t>Warehouse</t>
        </is>
      </c>
      <c r="O3" s="30" t="inlineStr">
        <is>
          <t>Method</t>
        </is>
      </c>
      <c r="P3" s="30" t="inlineStr">
        <is>
          <t>Expected Uplift %</t>
        </is>
      </c>
      <c r="Q3" s="30" t="inlineStr">
        <is>
          <t>Additional Qty</t>
        </is>
      </c>
      <c r="R3" s="30" t="inlineStr">
        <is>
          <t>New Stores</t>
        </is>
      </c>
      <c r="S3" s="30" t="inlineStr">
        <is>
          <t>Units/Store</t>
        </is>
      </c>
      <c r="T3" s="30" t="inlineStr">
        <is>
          <t>Confidence %</t>
        </is>
      </c>
      <c r="U3" s="30" t="inlineStr">
        <is>
          <t>Priority</t>
        </is>
      </c>
      <c r="V3" s="30" t="inlineStr">
        <is>
          <t>Approved By</t>
        </is>
      </c>
      <c r="W3" s="30" t="inlineStr">
        <is>
          <t>Status</t>
        </is>
      </c>
      <c r="X3" s="30" t="inlineStr">
        <is>
          <t>Family</t>
        </is>
      </c>
      <c r="Y3" s="30" t="inlineStr">
        <is>
          <t>idxS</t>
        </is>
      </c>
      <c r="Z3" s="30" t="inlineStr">
        <is>
          <t>idxE</t>
        </is>
      </c>
      <c r="AA3" s="30" t="inlineStr">
        <is>
          <t>Prio Wt</t>
        </is>
      </c>
      <c r="AB3" s="30" t="inlineStr">
        <is>
          <t>Lib Uplift</t>
        </is>
      </c>
      <c r="AC3" s="30" t="inlineStr">
        <is>
          <t>Base Uplift</t>
        </is>
      </c>
      <c r="AD3" s="30" t="inlineStr">
        <is>
          <t>Eff·M</t>
        </is>
      </c>
      <c r="AE3" s="30" t="inlineStr">
        <is>
          <t>Eff·M+1</t>
        </is>
      </c>
      <c r="AF3" s="30" t="inlineStr">
        <is>
          <t>Eff·M+2</t>
        </is>
      </c>
      <c r="AG3" s="30" t="inlineStr">
        <is>
          <t>Abs·M ₹Cr</t>
        </is>
      </c>
      <c r="AH3" s="30" t="inlineStr">
        <is>
          <t>Abs·M+1</t>
        </is>
      </c>
      <c r="AI3" s="30" t="inlineStr">
        <is>
          <t>Abs·M+2</t>
        </is>
      </c>
      <c r="AJ3" s="30" t="inlineStr">
        <is>
          <t>ln·M</t>
        </is>
      </c>
      <c r="AK3" s="30" t="inlineStr">
        <is>
          <t>ln·M+1</t>
        </is>
      </c>
      <c r="AL3" s="30" t="inlineStr">
        <is>
          <t>ln·M+2</t>
        </is>
      </c>
      <c r="AM3" s="30" t="inlineStr">
        <is>
          <t>Horizon Incr ₹Cr</t>
        </is>
      </c>
      <c r="AN3" s="30" t="inlineStr">
        <is>
          <t>Incr Qty</t>
        </is>
      </c>
    </row>
    <row r="4">
      <c r="A4" s="63" t="inlineStr">
        <is>
          <t>EV01</t>
        </is>
      </c>
      <c r="B4" s="64" t="inlineStr">
        <is>
          <t>Summer Sunscreen NPI (SPF60)</t>
        </is>
      </c>
      <c r="C4" s="64" t="inlineStr">
        <is>
          <t>NPI Launch</t>
        </is>
      </c>
      <c r="D4" s="63" t="inlineStr">
        <is>
          <t>Jun'26</t>
        </is>
      </c>
      <c r="E4" s="63" t="inlineStr">
        <is>
          <t>Aug'26</t>
        </is>
      </c>
      <c r="F4" s="63" t="inlineStr">
        <is>
          <t>Reliance Retail</t>
        </is>
      </c>
      <c r="G4" s="63" t="inlineStr">
        <is>
          <t>Mamaearth</t>
        </is>
      </c>
      <c r="H4" s="63" t="inlineStr">
        <is>
          <t>Face</t>
        </is>
      </c>
      <c r="I4" s="64" t="inlineStr">
        <is>
          <t>ME Sunscreen SPF60 50g</t>
        </is>
      </c>
      <c r="J4" s="63" t="inlineStr">
        <is>
          <t>West</t>
        </is>
      </c>
      <c r="K4" s="63" t="inlineStr">
        <is>
          <t>West</t>
        </is>
      </c>
      <c r="L4" s="63" t="inlineStr">
        <is>
          <t>Maharashtra</t>
        </is>
      </c>
      <c r="M4" s="63" t="inlineStr">
        <is>
          <t>Reliance DC Mumbai</t>
        </is>
      </c>
      <c r="N4" s="63" t="inlineStr">
        <is>
          <t>Mumbai</t>
        </is>
      </c>
      <c r="O4" s="63" t="inlineStr">
        <is>
          <t>Percentage</t>
        </is>
      </c>
      <c r="P4" s="65" t="n"/>
      <c r="Q4" s="66" t="n"/>
      <c r="R4" s="66" t="n"/>
      <c r="S4" s="66" t="n"/>
      <c r="T4" s="65" t="n">
        <v>0.85</v>
      </c>
      <c r="U4" s="63" t="inlineStr">
        <is>
          <t>Critical</t>
        </is>
      </c>
      <c r="V4" s="63" t="inlineStr">
        <is>
          <t>Sales Head</t>
        </is>
      </c>
      <c r="W4" s="63" t="inlineStr">
        <is>
          <t>Approved</t>
        </is>
      </c>
      <c r="X4" s="41">
        <f>IF((ISNUMBER(SEARCH("NPI",C4))+ISNUMBER(SEARCH("Launch",C4))+ISNUMBER(SEARCH("Relaunch",C4))+ISNUMBER(SEARCH("Listing",C4))+ISNUMBER(SEARCH("Distribution",C4))+ISNUMBER(SEARCH("Store",C4))+ISNUMBER(SEARCH("Warehouse",C4))+ISNUMBER(SEARCH("Distributor",C4))+ISNUMBER(SEARCH("Market",C4))+ISNUMBER(SEARCH("Export",C4))+ISNUMBER(SEARCH("Institutional",C4)))&gt;0,"RAMP","DECAY")</f>
        <v/>
      </c>
      <c r="Y4" s="41">
        <f>IFERROR(MATCH(D4,Calendar!$B$3:$B$38,0),0)</f>
        <v/>
      </c>
      <c r="Z4" s="41">
        <f>IFERROR(MATCH(E4,Calendar!$B$3:$B$38,0),Y4)</f>
        <v/>
      </c>
      <c r="AA4" s="67">
        <f>IFERROR(INDEX('Event Settings'!$B$11:$B$14,MATCH(U4,'Event Settings'!$A$11:$A$14,0)),0.5)</f>
        <v/>
      </c>
      <c r="AB4" s="68">
        <f>IFERROR(INDEX('Chain Event Library'!$C$4:$C$19,MATCH(F4&amp;"|"&amp;C4,'Chain Event Library'!$E$4:$E$19,0)),IFERROR(INDEX('Article Event Library'!$C$4:$C$13,MATCH(H4&amp;"|"&amp;C4,'Article Event Library'!$E$4:$E$13,0)),0))</f>
        <v/>
      </c>
      <c r="AC4" s="68">
        <f>IF(P4&lt;&gt;"",P4,AB4)</f>
        <v/>
      </c>
      <c r="AD4" s="68">
        <f>IF(W4="Approved",1,0)*AC4*T4*AA4*(IFERROR(INDEX('Seasonality Matrix'!$B$4:$M$11,MATCH(H4,'Seasonality Matrix'!$A$4:$A$11,0),MATCH('Control Panel'!$B$12,'Seasonality Matrix'!$B$3:$M$3,0))/IFERROR(INDEX('Seasonality Matrix'!$N$4:$N$11,MATCH(H4,'Seasonality Matrix'!$A$4:$A$11,0)),1),1))*(IF(X4="RAMP",IF('Control Panel'!$B$9-Y4&lt;0,0,INDEX('Event Settings'!$B$18:$B$23,MIN('Control Panel'!$B$9-Y4+1,6))),IF('Control Panel'!$B$9&lt;Y4,0,IF('Control Panel'!$B$9&lt;=Z4,1,IFERROR(INDEX('Event Settings'!$B$27:$B$30,MIN('Control Panel'!$B$9-Z4+1,4)),0)))))</f>
        <v/>
      </c>
      <c r="AE4" s="68">
        <f>IF(W4="Approved",1,0)*AC4*T4*AA4*(IFERROR(INDEX('Seasonality Matrix'!$B$4:$M$11,MATCH(H4,'Seasonality Matrix'!$A$4:$A$11,0),MATCH('Control Panel'!$B$13,'Seasonality Matrix'!$B$3:$M$3,0))/IFERROR(INDEX('Seasonality Matrix'!$N$4:$N$11,MATCH(H4,'Seasonality Matrix'!$A$4:$A$11,0)),1),1))*(IF(X4="RAMP",IF('Control Panel'!$B$10-Y4&lt;0,0,INDEX('Event Settings'!$B$18:$B$23,MIN('Control Panel'!$B$10-Y4+1,6))),IF('Control Panel'!$B$10&lt;Y4,0,IF('Control Panel'!$B$10&lt;=Z4,1,IFERROR(INDEX('Event Settings'!$B$27:$B$30,MIN('Control Panel'!$B$10-Z4+1,4)),0)))))</f>
        <v/>
      </c>
      <c r="AF4" s="68">
        <f>IF(W4="Approved",1,0)*AC4*T4*AA4*(IFERROR(INDEX('Seasonality Matrix'!$B$4:$M$11,MATCH(H4,'Seasonality Matrix'!$A$4:$A$11,0),MATCH('Control Panel'!$B$14,'Seasonality Matrix'!$B$3:$M$3,0))/IFERROR(INDEX('Seasonality Matrix'!$N$4:$N$11,MATCH(H4,'Seasonality Matrix'!$A$4:$A$11,0)),1),1))*(IF(X4="RAMP",IF('Control Panel'!$B$11-Y4&lt;0,0,INDEX('Event Settings'!$B$18:$B$23,MIN('Control Panel'!$B$11-Y4+1,6))),IF('Control Panel'!$B$11&lt;Y4,0,IF('Control Panel'!$B$11&lt;=Z4,1,IFERROR(INDEX('Event Settings'!$B$27:$B$30,MIN('Control Panel'!$B$11-Z4+1,4)),0)))))</f>
        <v/>
      </c>
      <c r="AG4" s="69">
        <f>IF(W4="Approved",1,0)*(Q4*'Event Settings'!$B$4/10000000*(IF('Control Panel'!$B$9=Y4,1,0))+R4*S4*'Event Settings'!$B$4/10000000*(IF(X4="RAMP",IF('Control Panel'!$B$9-Y4&lt;0,0,INDEX('Event Settings'!$B$18:$B$23,MIN('Control Panel'!$B$9-Y4+1,6))),IF('Control Panel'!$B$9&lt;Y4,0,IF('Control Panel'!$B$9&lt;=Z4,1,IFERROR(INDEX('Event Settings'!$B$27:$B$30,MIN('Control Panel'!$B$9-Z4+1,4)),0))))))</f>
        <v/>
      </c>
      <c r="AH4" s="69">
        <f>IF(W4="Approved",1,0)*(Q4*'Event Settings'!$B$4/10000000*(IF('Control Panel'!$B$10=Y4,1,0))+R4*S4*'Event Settings'!$B$4/10000000*(IF(X4="RAMP",IF('Control Panel'!$B$10-Y4&lt;0,0,INDEX('Event Settings'!$B$18:$B$23,MIN('Control Panel'!$B$10-Y4+1,6))),IF('Control Panel'!$B$10&lt;Y4,0,IF('Control Panel'!$B$10&lt;=Z4,1,IFERROR(INDEX('Event Settings'!$B$27:$B$30,MIN('Control Panel'!$B$10-Z4+1,4)),0))))))</f>
        <v/>
      </c>
      <c r="AI4" s="69">
        <f>IF(W4="Approved",1,0)*(Q4*'Event Settings'!$B$4/10000000*(IF('Control Panel'!$B$11=Y4,1,0))+R4*S4*'Event Settings'!$B$4/10000000*(IF(X4="RAMP",IF('Control Panel'!$B$11-Y4&lt;0,0,INDEX('Event Settings'!$B$18:$B$23,MIN('Control Panel'!$B$11-Y4+1,6))),IF('Control Panel'!$B$11&lt;Y4,0,IF('Control Panel'!$B$11&lt;=Z4,1,IFERROR(INDEX('Event Settings'!$B$27:$B$30,MIN('Control Panel'!$B$11-Z4+1,4)),0))))))</f>
        <v/>
      </c>
      <c r="AJ4" s="41">
        <f>IF(AD4&gt;-1,LN(1+AD4),0)</f>
        <v/>
      </c>
      <c r="AK4" s="41">
        <f>IF(AE4&gt;-1,LN(1+AE4),0)</f>
        <v/>
      </c>
      <c r="AL4" s="41">
        <f>IF(AF4&gt;-1,LN(1+AF4),0)</f>
        <v/>
      </c>
      <c r="AM4" s="70">
        <f>SUMIFS('Forecast Engine'!$AK$4:$AK$12,'Forecast Engine'!$A$4:$A$12,G4,'Forecast Engine'!$B$4:$B$12,H4)*AD4+SUMIFS('Forecast Engine'!$AL$4:$AL$12,'Forecast Engine'!$A$4:$A$12,G4,'Forecast Engine'!$B$4:$B$12,H4)*AE4+SUMIFS('Forecast Engine'!$AM$4:$AM$12,'Forecast Engine'!$A$4:$A$12,G4,'Forecast Engine'!$B$4:$B$12,H4)*AF4+AG4+AH4+AI4</f>
        <v/>
      </c>
      <c r="AN4" s="71">
        <f>IFERROR(AM4*10000000/'Event Settings'!$B$4,0)</f>
        <v/>
      </c>
    </row>
    <row r="5">
      <c r="A5" s="63" t="inlineStr">
        <is>
          <t>EV02</t>
        </is>
      </c>
      <c r="B5" s="64" t="inlineStr">
        <is>
          <t>Summer Seasonal Push</t>
        </is>
      </c>
      <c r="C5" s="64" t="inlineStr">
        <is>
          <t>Seasonal Push</t>
        </is>
      </c>
      <c r="D5" s="63" t="inlineStr">
        <is>
          <t>Jun'26</t>
        </is>
      </c>
      <c r="E5" s="63" t="inlineStr">
        <is>
          <t>Jul'26</t>
        </is>
      </c>
      <c r="F5" s="63" t="inlineStr">
        <is>
          <t>Reliance Retail</t>
        </is>
      </c>
      <c r="G5" s="63" t="inlineStr">
        <is>
          <t>Mamaearth</t>
        </is>
      </c>
      <c r="H5" s="63" t="inlineStr">
        <is>
          <t>Face</t>
        </is>
      </c>
      <c r="I5" s="64" t="inlineStr">
        <is>
          <t>Sunscreen range</t>
        </is>
      </c>
      <c r="J5" s="63" t="inlineStr">
        <is>
          <t>West</t>
        </is>
      </c>
      <c r="K5" s="63" t="inlineStr">
        <is>
          <t>West</t>
        </is>
      </c>
      <c r="L5" s="63" t="inlineStr">
        <is>
          <t>Maharashtra</t>
        </is>
      </c>
      <c r="M5" s="63" t="inlineStr">
        <is>
          <t>Reliance DC Mumbai</t>
        </is>
      </c>
      <c r="N5" s="63" t="inlineStr">
        <is>
          <t>Mumbai</t>
        </is>
      </c>
      <c r="O5" s="63" t="inlineStr">
        <is>
          <t>Percentage</t>
        </is>
      </c>
      <c r="P5" s="65" t="n">
        <v>0.15</v>
      </c>
      <c r="Q5" s="66" t="n"/>
      <c r="R5" s="66" t="n"/>
      <c r="S5" s="66" t="n"/>
      <c r="T5" s="65" t="n">
        <v>0.8</v>
      </c>
      <c r="U5" s="63" t="inlineStr">
        <is>
          <t>High</t>
        </is>
      </c>
      <c r="V5" s="63" t="inlineStr">
        <is>
          <t>KAM</t>
        </is>
      </c>
      <c r="W5" s="63" t="inlineStr">
        <is>
          <t>Approved</t>
        </is>
      </c>
      <c r="X5" s="41">
        <f>IF((ISNUMBER(SEARCH("NPI",C5))+ISNUMBER(SEARCH("Launch",C5))+ISNUMBER(SEARCH("Relaunch",C5))+ISNUMBER(SEARCH("Listing",C5))+ISNUMBER(SEARCH("Distribution",C5))+ISNUMBER(SEARCH("Store",C5))+ISNUMBER(SEARCH("Warehouse",C5))+ISNUMBER(SEARCH("Distributor",C5))+ISNUMBER(SEARCH("Market",C5))+ISNUMBER(SEARCH("Export",C5))+ISNUMBER(SEARCH("Institutional",C5)))&gt;0,"RAMP","DECAY")</f>
        <v/>
      </c>
      <c r="Y5" s="41">
        <f>IFERROR(MATCH(D5,Calendar!$B$3:$B$38,0),0)</f>
        <v/>
      </c>
      <c r="Z5" s="41">
        <f>IFERROR(MATCH(E5,Calendar!$B$3:$B$38,0),Y5)</f>
        <v/>
      </c>
      <c r="AA5" s="67">
        <f>IFERROR(INDEX('Event Settings'!$B$11:$B$14,MATCH(U5,'Event Settings'!$A$11:$A$14,0)),0.5)</f>
        <v/>
      </c>
      <c r="AB5" s="68">
        <f>IFERROR(INDEX('Chain Event Library'!$C$4:$C$19,MATCH(F5&amp;"|"&amp;C5,'Chain Event Library'!$E$4:$E$19,0)),IFERROR(INDEX('Article Event Library'!$C$4:$C$13,MATCH(H5&amp;"|"&amp;C5,'Article Event Library'!$E$4:$E$13,0)),0))</f>
        <v/>
      </c>
      <c r="AC5" s="68">
        <f>IF(P5&lt;&gt;"",P5,AB5)</f>
        <v/>
      </c>
      <c r="AD5" s="68">
        <f>IF(W5="Approved",1,0)*AC5*T5*AA5*(IFERROR(INDEX('Seasonality Matrix'!$B$4:$M$11,MATCH(H5,'Seasonality Matrix'!$A$4:$A$11,0),MATCH('Control Panel'!$B$12,'Seasonality Matrix'!$B$3:$M$3,0))/IFERROR(INDEX('Seasonality Matrix'!$N$4:$N$11,MATCH(H5,'Seasonality Matrix'!$A$4:$A$11,0)),1),1))*(IF(X5="RAMP",IF('Control Panel'!$B$9-Y5&lt;0,0,INDEX('Event Settings'!$B$18:$B$23,MIN('Control Panel'!$B$9-Y5+1,6))),IF('Control Panel'!$B$9&lt;Y5,0,IF('Control Panel'!$B$9&lt;=Z5,1,IFERROR(INDEX('Event Settings'!$B$27:$B$30,MIN('Control Panel'!$B$9-Z5+1,4)),0)))))</f>
        <v/>
      </c>
      <c r="AE5" s="68">
        <f>IF(W5="Approved",1,0)*AC5*T5*AA5*(IFERROR(INDEX('Seasonality Matrix'!$B$4:$M$11,MATCH(H5,'Seasonality Matrix'!$A$4:$A$11,0),MATCH('Control Panel'!$B$13,'Seasonality Matrix'!$B$3:$M$3,0))/IFERROR(INDEX('Seasonality Matrix'!$N$4:$N$11,MATCH(H5,'Seasonality Matrix'!$A$4:$A$11,0)),1),1))*(IF(X5="RAMP",IF('Control Panel'!$B$10-Y5&lt;0,0,INDEX('Event Settings'!$B$18:$B$23,MIN('Control Panel'!$B$10-Y5+1,6))),IF('Control Panel'!$B$10&lt;Y5,0,IF('Control Panel'!$B$10&lt;=Z5,1,IFERROR(INDEX('Event Settings'!$B$27:$B$30,MIN('Control Panel'!$B$10-Z5+1,4)),0)))))</f>
        <v/>
      </c>
      <c r="AF5" s="68">
        <f>IF(W5="Approved",1,0)*AC5*T5*AA5*(IFERROR(INDEX('Seasonality Matrix'!$B$4:$M$11,MATCH(H5,'Seasonality Matrix'!$A$4:$A$11,0),MATCH('Control Panel'!$B$14,'Seasonality Matrix'!$B$3:$M$3,0))/IFERROR(INDEX('Seasonality Matrix'!$N$4:$N$11,MATCH(H5,'Seasonality Matrix'!$A$4:$A$11,0)),1),1))*(IF(X5="RAMP",IF('Control Panel'!$B$11-Y5&lt;0,0,INDEX('Event Settings'!$B$18:$B$23,MIN('Control Panel'!$B$11-Y5+1,6))),IF('Control Panel'!$B$11&lt;Y5,0,IF('Control Panel'!$B$11&lt;=Z5,1,IFERROR(INDEX('Event Settings'!$B$27:$B$30,MIN('Control Panel'!$B$11-Z5+1,4)),0)))))</f>
        <v/>
      </c>
      <c r="AG5" s="69">
        <f>IF(W5="Approved",1,0)*(Q5*'Event Settings'!$B$4/10000000*(IF('Control Panel'!$B$9=Y5,1,0))+R5*S5*'Event Settings'!$B$4/10000000*(IF(X5="RAMP",IF('Control Panel'!$B$9-Y5&lt;0,0,INDEX('Event Settings'!$B$18:$B$23,MIN('Control Panel'!$B$9-Y5+1,6))),IF('Control Panel'!$B$9&lt;Y5,0,IF('Control Panel'!$B$9&lt;=Z5,1,IFERROR(INDEX('Event Settings'!$B$27:$B$30,MIN('Control Panel'!$B$9-Z5+1,4)),0))))))</f>
        <v/>
      </c>
      <c r="AH5" s="69">
        <f>IF(W5="Approved",1,0)*(Q5*'Event Settings'!$B$4/10000000*(IF('Control Panel'!$B$10=Y5,1,0))+R5*S5*'Event Settings'!$B$4/10000000*(IF(X5="RAMP",IF('Control Panel'!$B$10-Y5&lt;0,0,INDEX('Event Settings'!$B$18:$B$23,MIN('Control Panel'!$B$10-Y5+1,6))),IF('Control Panel'!$B$10&lt;Y5,0,IF('Control Panel'!$B$10&lt;=Z5,1,IFERROR(INDEX('Event Settings'!$B$27:$B$30,MIN('Control Panel'!$B$10-Z5+1,4)),0))))))</f>
        <v/>
      </c>
      <c r="AI5" s="69">
        <f>IF(W5="Approved",1,0)*(Q5*'Event Settings'!$B$4/10000000*(IF('Control Panel'!$B$11=Y5,1,0))+R5*S5*'Event Settings'!$B$4/10000000*(IF(X5="RAMP",IF('Control Panel'!$B$11-Y5&lt;0,0,INDEX('Event Settings'!$B$18:$B$23,MIN('Control Panel'!$B$11-Y5+1,6))),IF('Control Panel'!$B$11&lt;Y5,0,IF('Control Panel'!$B$11&lt;=Z5,1,IFERROR(INDEX('Event Settings'!$B$27:$B$30,MIN('Control Panel'!$B$11-Z5+1,4)),0))))))</f>
        <v/>
      </c>
      <c r="AJ5" s="41">
        <f>IF(AD5&gt;-1,LN(1+AD5),0)</f>
        <v/>
      </c>
      <c r="AK5" s="41">
        <f>IF(AE5&gt;-1,LN(1+AE5),0)</f>
        <v/>
      </c>
      <c r="AL5" s="41">
        <f>IF(AF5&gt;-1,LN(1+AF5),0)</f>
        <v/>
      </c>
      <c r="AM5" s="70">
        <f>SUMIFS('Forecast Engine'!$AK$4:$AK$12,'Forecast Engine'!$A$4:$A$12,G5,'Forecast Engine'!$B$4:$B$12,H5)*AD5+SUMIFS('Forecast Engine'!$AL$4:$AL$12,'Forecast Engine'!$A$4:$A$12,G5,'Forecast Engine'!$B$4:$B$12,H5)*AE5+SUMIFS('Forecast Engine'!$AM$4:$AM$12,'Forecast Engine'!$A$4:$A$12,G5,'Forecast Engine'!$B$4:$B$12,H5)*AF5+AG5+AH5+AI5</f>
        <v/>
      </c>
      <c r="AN5" s="71">
        <f>IFERROR(AM5*10000000/'Event Settings'!$B$4,0)</f>
        <v/>
      </c>
    </row>
    <row r="6">
      <c r="A6" s="63" t="inlineStr">
        <is>
          <t>EV03</t>
        </is>
      </c>
      <c r="B6" s="64" t="inlineStr">
        <is>
          <t>Price Drop 10%</t>
        </is>
      </c>
      <c r="C6" s="64" t="inlineStr">
        <is>
          <t>Price Drop</t>
        </is>
      </c>
      <c r="D6" s="63" t="inlineStr">
        <is>
          <t>Jun'26</t>
        </is>
      </c>
      <c r="E6" s="63" t="inlineStr">
        <is>
          <t>Jun'26</t>
        </is>
      </c>
      <c r="F6" s="63" t="inlineStr">
        <is>
          <t>Reliance Retail</t>
        </is>
      </c>
      <c r="G6" s="63" t="inlineStr">
        <is>
          <t>Mamaearth</t>
        </is>
      </c>
      <c r="H6" s="63" t="inlineStr">
        <is>
          <t>Face</t>
        </is>
      </c>
      <c r="I6" s="64" t="inlineStr">
        <is>
          <t>Sunscreen range</t>
        </is>
      </c>
      <c r="J6" s="63" t="inlineStr">
        <is>
          <t>West</t>
        </is>
      </c>
      <c r="K6" s="63" t="inlineStr">
        <is>
          <t>West</t>
        </is>
      </c>
      <c r="L6" s="63" t="inlineStr">
        <is>
          <t>Maharashtra</t>
        </is>
      </c>
      <c r="M6" s="63" t="inlineStr">
        <is>
          <t>Reliance DC Mumbai</t>
        </is>
      </c>
      <c r="N6" s="63" t="inlineStr">
        <is>
          <t>Mumbai</t>
        </is>
      </c>
      <c r="O6" s="63" t="inlineStr">
        <is>
          <t>Percentage</t>
        </is>
      </c>
      <c r="P6" s="65" t="n">
        <v>0.1</v>
      </c>
      <c r="Q6" s="66" t="n"/>
      <c r="R6" s="66" t="n"/>
      <c r="S6" s="66" t="n"/>
      <c r="T6" s="65" t="n">
        <v>0.85</v>
      </c>
      <c r="U6" s="63" t="inlineStr">
        <is>
          <t>High</t>
        </is>
      </c>
      <c r="V6" s="63" t="inlineStr">
        <is>
          <t>KAM</t>
        </is>
      </c>
      <c r="W6" s="63" t="inlineStr">
        <is>
          <t>Approved</t>
        </is>
      </c>
      <c r="X6" s="41">
        <f>IF((ISNUMBER(SEARCH("NPI",C6))+ISNUMBER(SEARCH("Launch",C6))+ISNUMBER(SEARCH("Relaunch",C6))+ISNUMBER(SEARCH("Listing",C6))+ISNUMBER(SEARCH("Distribution",C6))+ISNUMBER(SEARCH("Store",C6))+ISNUMBER(SEARCH("Warehouse",C6))+ISNUMBER(SEARCH("Distributor",C6))+ISNUMBER(SEARCH("Market",C6))+ISNUMBER(SEARCH("Export",C6))+ISNUMBER(SEARCH("Institutional",C6)))&gt;0,"RAMP","DECAY")</f>
        <v/>
      </c>
      <c r="Y6" s="41">
        <f>IFERROR(MATCH(D6,Calendar!$B$3:$B$38,0),0)</f>
        <v/>
      </c>
      <c r="Z6" s="41">
        <f>IFERROR(MATCH(E6,Calendar!$B$3:$B$38,0),Y6)</f>
        <v/>
      </c>
      <c r="AA6" s="67">
        <f>IFERROR(INDEX('Event Settings'!$B$11:$B$14,MATCH(U6,'Event Settings'!$A$11:$A$14,0)),0.5)</f>
        <v/>
      </c>
      <c r="AB6" s="68">
        <f>IFERROR(INDEX('Chain Event Library'!$C$4:$C$19,MATCH(F6&amp;"|"&amp;C6,'Chain Event Library'!$E$4:$E$19,0)),IFERROR(INDEX('Article Event Library'!$C$4:$C$13,MATCH(H6&amp;"|"&amp;C6,'Article Event Library'!$E$4:$E$13,0)),0))</f>
        <v/>
      </c>
      <c r="AC6" s="68">
        <f>IF(P6&lt;&gt;"",P6,AB6)</f>
        <v/>
      </c>
      <c r="AD6" s="68">
        <f>IF(W6="Approved",1,0)*AC6*T6*AA6*(IFERROR(INDEX('Seasonality Matrix'!$B$4:$M$11,MATCH(H6,'Seasonality Matrix'!$A$4:$A$11,0),MATCH('Control Panel'!$B$12,'Seasonality Matrix'!$B$3:$M$3,0))/IFERROR(INDEX('Seasonality Matrix'!$N$4:$N$11,MATCH(H6,'Seasonality Matrix'!$A$4:$A$11,0)),1),1))*(IF(X6="RAMP",IF('Control Panel'!$B$9-Y6&lt;0,0,INDEX('Event Settings'!$B$18:$B$23,MIN('Control Panel'!$B$9-Y6+1,6))),IF('Control Panel'!$B$9&lt;Y6,0,IF('Control Panel'!$B$9&lt;=Z6,1,IFERROR(INDEX('Event Settings'!$B$27:$B$30,MIN('Control Panel'!$B$9-Z6+1,4)),0)))))</f>
        <v/>
      </c>
      <c r="AE6" s="68">
        <f>IF(W6="Approved",1,0)*AC6*T6*AA6*(IFERROR(INDEX('Seasonality Matrix'!$B$4:$M$11,MATCH(H6,'Seasonality Matrix'!$A$4:$A$11,0),MATCH('Control Panel'!$B$13,'Seasonality Matrix'!$B$3:$M$3,0))/IFERROR(INDEX('Seasonality Matrix'!$N$4:$N$11,MATCH(H6,'Seasonality Matrix'!$A$4:$A$11,0)),1),1))*(IF(X6="RAMP",IF('Control Panel'!$B$10-Y6&lt;0,0,INDEX('Event Settings'!$B$18:$B$23,MIN('Control Panel'!$B$10-Y6+1,6))),IF('Control Panel'!$B$10&lt;Y6,0,IF('Control Panel'!$B$10&lt;=Z6,1,IFERROR(INDEX('Event Settings'!$B$27:$B$30,MIN('Control Panel'!$B$10-Z6+1,4)),0)))))</f>
        <v/>
      </c>
      <c r="AF6" s="68">
        <f>IF(W6="Approved",1,0)*AC6*T6*AA6*(IFERROR(INDEX('Seasonality Matrix'!$B$4:$M$11,MATCH(H6,'Seasonality Matrix'!$A$4:$A$11,0),MATCH('Control Panel'!$B$14,'Seasonality Matrix'!$B$3:$M$3,0))/IFERROR(INDEX('Seasonality Matrix'!$N$4:$N$11,MATCH(H6,'Seasonality Matrix'!$A$4:$A$11,0)),1),1))*(IF(X6="RAMP",IF('Control Panel'!$B$11-Y6&lt;0,0,INDEX('Event Settings'!$B$18:$B$23,MIN('Control Panel'!$B$11-Y6+1,6))),IF('Control Panel'!$B$11&lt;Y6,0,IF('Control Panel'!$B$11&lt;=Z6,1,IFERROR(INDEX('Event Settings'!$B$27:$B$30,MIN('Control Panel'!$B$11-Z6+1,4)),0)))))</f>
        <v/>
      </c>
      <c r="AG6" s="69">
        <f>IF(W6="Approved",1,0)*(Q6*'Event Settings'!$B$4/10000000*(IF('Control Panel'!$B$9=Y6,1,0))+R6*S6*'Event Settings'!$B$4/10000000*(IF(X6="RAMP",IF('Control Panel'!$B$9-Y6&lt;0,0,INDEX('Event Settings'!$B$18:$B$23,MIN('Control Panel'!$B$9-Y6+1,6))),IF('Control Panel'!$B$9&lt;Y6,0,IF('Control Panel'!$B$9&lt;=Z6,1,IFERROR(INDEX('Event Settings'!$B$27:$B$30,MIN('Control Panel'!$B$9-Z6+1,4)),0))))))</f>
        <v/>
      </c>
      <c r="AH6" s="69">
        <f>IF(W6="Approved",1,0)*(Q6*'Event Settings'!$B$4/10000000*(IF('Control Panel'!$B$10=Y6,1,0))+R6*S6*'Event Settings'!$B$4/10000000*(IF(X6="RAMP",IF('Control Panel'!$B$10-Y6&lt;0,0,INDEX('Event Settings'!$B$18:$B$23,MIN('Control Panel'!$B$10-Y6+1,6))),IF('Control Panel'!$B$10&lt;Y6,0,IF('Control Panel'!$B$10&lt;=Z6,1,IFERROR(INDEX('Event Settings'!$B$27:$B$30,MIN('Control Panel'!$B$10-Z6+1,4)),0))))))</f>
        <v/>
      </c>
      <c r="AI6" s="69">
        <f>IF(W6="Approved",1,0)*(Q6*'Event Settings'!$B$4/10000000*(IF('Control Panel'!$B$11=Y6,1,0))+R6*S6*'Event Settings'!$B$4/10000000*(IF(X6="RAMP",IF('Control Panel'!$B$11-Y6&lt;0,0,INDEX('Event Settings'!$B$18:$B$23,MIN('Control Panel'!$B$11-Y6+1,6))),IF('Control Panel'!$B$11&lt;Y6,0,IF('Control Panel'!$B$11&lt;=Z6,1,IFERROR(INDEX('Event Settings'!$B$27:$B$30,MIN('Control Panel'!$B$11-Z6+1,4)),0))))))</f>
        <v/>
      </c>
      <c r="AJ6" s="41">
        <f>IF(AD6&gt;-1,LN(1+AD6),0)</f>
        <v/>
      </c>
      <c r="AK6" s="41">
        <f>IF(AE6&gt;-1,LN(1+AE6),0)</f>
        <v/>
      </c>
      <c r="AL6" s="41">
        <f>IF(AF6&gt;-1,LN(1+AF6),0)</f>
        <v/>
      </c>
      <c r="AM6" s="70">
        <f>SUMIFS('Forecast Engine'!$AK$4:$AK$12,'Forecast Engine'!$A$4:$A$12,G6,'Forecast Engine'!$B$4:$B$12,H6)*AD6+SUMIFS('Forecast Engine'!$AL$4:$AL$12,'Forecast Engine'!$A$4:$A$12,G6,'Forecast Engine'!$B$4:$B$12,H6)*AE6+SUMIFS('Forecast Engine'!$AM$4:$AM$12,'Forecast Engine'!$A$4:$A$12,G6,'Forecast Engine'!$B$4:$B$12,H6)*AF6+AG6+AH6+AI6</f>
        <v/>
      </c>
      <c r="AN6" s="71">
        <f>IFERROR(AM6*10000000/'Event Settings'!$B$4,0)</f>
        <v/>
      </c>
    </row>
    <row r="7">
      <c r="A7" s="63" t="inlineStr">
        <is>
          <t>EV04</t>
        </is>
      </c>
      <c r="B7" s="64" t="inlineStr">
        <is>
          <t>Endcap Visibility</t>
        </is>
      </c>
      <c r="C7" s="64" t="inlineStr">
        <is>
          <t>Endcap</t>
        </is>
      </c>
      <c r="D7" s="63" t="inlineStr">
        <is>
          <t>Jun'26</t>
        </is>
      </c>
      <c r="E7" s="63" t="inlineStr">
        <is>
          <t>Jul'26</t>
        </is>
      </c>
      <c r="F7" s="63" t="inlineStr">
        <is>
          <t>Reliance Retail</t>
        </is>
      </c>
      <c r="G7" s="63" t="inlineStr">
        <is>
          <t>Mamaearth</t>
        </is>
      </c>
      <c r="H7" s="63" t="inlineStr">
        <is>
          <t>Face</t>
        </is>
      </c>
      <c r="I7" s="64" t="inlineStr">
        <is>
          <t>Sunscreen range</t>
        </is>
      </c>
      <c r="J7" s="63" t="inlineStr">
        <is>
          <t>West</t>
        </is>
      </c>
      <c r="K7" s="63" t="inlineStr">
        <is>
          <t>West</t>
        </is>
      </c>
      <c r="L7" s="63" t="inlineStr">
        <is>
          <t>Maharashtra</t>
        </is>
      </c>
      <c r="M7" s="63" t="inlineStr">
        <is>
          <t>Reliance DC Mumbai</t>
        </is>
      </c>
      <c r="N7" s="63" t="inlineStr">
        <is>
          <t>Mumbai</t>
        </is>
      </c>
      <c r="O7" s="63" t="inlineStr">
        <is>
          <t>Percentage</t>
        </is>
      </c>
      <c r="P7" s="65" t="n"/>
      <c r="Q7" s="66" t="n"/>
      <c r="R7" s="66" t="n"/>
      <c r="S7" s="66" t="n"/>
      <c r="T7" s="65" t="n">
        <v>0.9</v>
      </c>
      <c r="U7" s="63" t="inlineStr">
        <is>
          <t>High</t>
        </is>
      </c>
      <c r="V7" s="63" t="inlineStr">
        <is>
          <t>Trade Mktg</t>
        </is>
      </c>
      <c r="W7" s="63" t="inlineStr">
        <is>
          <t>Approved</t>
        </is>
      </c>
      <c r="X7" s="41">
        <f>IF((ISNUMBER(SEARCH("NPI",C7))+ISNUMBER(SEARCH("Launch",C7))+ISNUMBER(SEARCH("Relaunch",C7))+ISNUMBER(SEARCH("Listing",C7))+ISNUMBER(SEARCH("Distribution",C7))+ISNUMBER(SEARCH("Store",C7))+ISNUMBER(SEARCH("Warehouse",C7))+ISNUMBER(SEARCH("Distributor",C7))+ISNUMBER(SEARCH("Market",C7))+ISNUMBER(SEARCH("Export",C7))+ISNUMBER(SEARCH("Institutional",C7)))&gt;0,"RAMP","DECAY")</f>
        <v/>
      </c>
      <c r="Y7" s="41">
        <f>IFERROR(MATCH(D7,Calendar!$B$3:$B$38,0),0)</f>
        <v/>
      </c>
      <c r="Z7" s="41">
        <f>IFERROR(MATCH(E7,Calendar!$B$3:$B$38,0),Y7)</f>
        <v/>
      </c>
      <c r="AA7" s="67">
        <f>IFERROR(INDEX('Event Settings'!$B$11:$B$14,MATCH(U7,'Event Settings'!$A$11:$A$14,0)),0.5)</f>
        <v/>
      </c>
      <c r="AB7" s="68">
        <f>IFERROR(INDEX('Chain Event Library'!$C$4:$C$19,MATCH(F7&amp;"|"&amp;C7,'Chain Event Library'!$E$4:$E$19,0)),IFERROR(INDEX('Article Event Library'!$C$4:$C$13,MATCH(H7&amp;"|"&amp;C7,'Article Event Library'!$E$4:$E$13,0)),0))</f>
        <v/>
      </c>
      <c r="AC7" s="68">
        <f>IF(P7&lt;&gt;"",P7,AB7)</f>
        <v/>
      </c>
      <c r="AD7" s="68">
        <f>IF(W7="Approved",1,0)*AC7*T7*AA7*(IFERROR(INDEX('Seasonality Matrix'!$B$4:$M$11,MATCH(H7,'Seasonality Matrix'!$A$4:$A$11,0),MATCH('Control Panel'!$B$12,'Seasonality Matrix'!$B$3:$M$3,0))/IFERROR(INDEX('Seasonality Matrix'!$N$4:$N$11,MATCH(H7,'Seasonality Matrix'!$A$4:$A$11,0)),1),1))*(IF(X7="RAMP",IF('Control Panel'!$B$9-Y7&lt;0,0,INDEX('Event Settings'!$B$18:$B$23,MIN('Control Panel'!$B$9-Y7+1,6))),IF('Control Panel'!$B$9&lt;Y7,0,IF('Control Panel'!$B$9&lt;=Z7,1,IFERROR(INDEX('Event Settings'!$B$27:$B$30,MIN('Control Panel'!$B$9-Z7+1,4)),0)))))</f>
        <v/>
      </c>
      <c r="AE7" s="68">
        <f>IF(W7="Approved",1,0)*AC7*T7*AA7*(IFERROR(INDEX('Seasonality Matrix'!$B$4:$M$11,MATCH(H7,'Seasonality Matrix'!$A$4:$A$11,0),MATCH('Control Panel'!$B$13,'Seasonality Matrix'!$B$3:$M$3,0))/IFERROR(INDEX('Seasonality Matrix'!$N$4:$N$11,MATCH(H7,'Seasonality Matrix'!$A$4:$A$11,0)),1),1))*(IF(X7="RAMP",IF('Control Panel'!$B$10-Y7&lt;0,0,INDEX('Event Settings'!$B$18:$B$23,MIN('Control Panel'!$B$10-Y7+1,6))),IF('Control Panel'!$B$10&lt;Y7,0,IF('Control Panel'!$B$10&lt;=Z7,1,IFERROR(INDEX('Event Settings'!$B$27:$B$30,MIN('Control Panel'!$B$10-Z7+1,4)),0)))))</f>
        <v/>
      </c>
      <c r="AF7" s="68">
        <f>IF(W7="Approved",1,0)*AC7*T7*AA7*(IFERROR(INDEX('Seasonality Matrix'!$B$4:$M$11,MATCH(H7,'Seasonality Matrix'!$A$4:$A$11,0),MATCH('Control Panel'!$B$14,'Seasonality Matrix'!$B$3:$M$3,0))/IFERROR(INDEX('Seasonality Matrix'!$N$4:$N$11,MATCH(H7,'Seasonality Matrix'!$A$4:$A$11,0)),1),1))*(IF(X7="RAMP",IF('Control Panel'!$B$11-Y7&lt;0,0,INDEX('Event Settings'!$B$18:$B$23,MIN('Control Panel'!$B$11-Y7+1,6))),IF('Control Panel'!$B$11&lt;Y7,0,IF('Control Panel'!$B$11&lt;=Z7,1,IFERROR(INDEX('Event Settings'!$B$27:$B$30,MIN('Control Panel'!$B$11-Z7+1,4)),0)))))</f>
        <v/>
      </c>
      <c r="AG7" s="69">
        <f>IF(W7="Approved",1,0)*(Q7*'Event Settings'!$B$4/10000000*(IF('Control Panel'!$B$9=Y7,1,0))+R7*S7*'Event Settings'!$B$4/10000000*(IF(X7="RAMP",IF('Control Panel'!$B$9-Y7&lt;0,0,INDEX('Event Settings'!$B$18:$B$23,MIN('Control Panel'!$B$9-Y7+1,6))),IF('Control Panel'!$B$9&lt;Y7,0,IF('Control Panel'!$B$9&lt;=Z7,1,IFERROR(INDEX('Event Settings'!$B$27:$B$30,MIN('Control Panel'!$B$9-Z7+1,4)),0))))))</f>
        <v/>
      </c>
      <c r="AH7" s="69">
        <f>IF(W7="Approved",1,0)*(Q7*'Event Settings'!$B$4/10000000*(IF('Control Panel'!$B$10=Y7,1,0))+R7*S7*'Event Settings'!$B$4/10000000*(IF(X7="RAMP",IF('Control Panel'!$B$10-Y7&lt;0,0,INDEX('Event Settings'!$B$18:$B$23,MIN('Control Panel'!$B$10-Y7+1,6))),IF('Control Panel'!$B$10&lt;Y7,0,IF('Control Panel'!$B$10&lt;=Z7,1,IFERROR(INDEX('Event Settings'!$B$27:$B$30,MIN('Control Panel'!$B$10-Z7+1,4)),0))))))</f>
        <v/>
      </c>
      <c r="AI7" s="69">
        <f>IF(W7="Approved",1,0)*(Q7*'Event Settings'!$B$4/10000000*(IF('Control Panel'!$B$11=Y7,1,0))+R7*S7*'Event Settings'!$B$4/10000000*(IF(X7="RAMP",IF('Control Panel'!$B$11-Y7&lt;0,0,INDEX('Event Settings'!$B$18:$B$23,MIN('Control Panel'!$B$11-Y7+1,6))),IF('Control Panel'!$B$11&lt;Y7,0,IF('Control Panel'!$B$11&lt;=Z7,1,IFERROR(INDEX('Event Settings'!$B$27:$B$30,MIN('Control Panel'!$B$11-Z7+1,4)),0))))))</f>
        <v/>
      </c>
      <c r="AJ7" s="41">
        <f>IF(AD7&gt;-1,LN(1+AD7),0)</f>
        <v/>
      </c>
      <c r="AK7" s="41">
        <f>IF(AE7&gt;-1,LN(1+AE7),0)</f>
        <v/>
      </c>
      <c r="AL7" s="41">
        <f>IF(AF7&gt;-1,LN(1+AF7),0)</f>
        <v/>
      </c>
      <c r="AM7" s="70">
        <f>SUMIFS('Forecast Engine'!$AK$4:$AK$12,'Forecast Engine'!$A$4:$A$12,G7,'Forecast Engine'!$B$4:$B$12,H7)*AD7+SUMIFS('Forecast Engine'!$AL$4:$AL$12,'Forecast Engine'!$A$4:$A$12,G7,'Forecast Engine'!$B$4:$B$12,H7)*AE7+SUMIFS('Forecast Engine'!$AM$4:$AM$12,'Forecast Engine'!$A$4:$A$12,G7,'Forecast Engine'!$B$4:$B$12,H7)*AF7+AG7+AH7+AI7</f>
        <v/>
      </c>
      <c r="AN7" s="71">
        <f>IFERROR(AM7*10000000/'Event Settings'!$B$4,0)</f>
        <v/>
      </c>
    </row>
    <row r="8">
      <c r="A8" s="63" t="inlineStr">
        <is>
          <t>EV05</t>
        </is>
      </c>
      <c r="B8" s="64" t="inlineStr">
        <is>
          <t>Digital Campaign</t>
        </is>
      </c>
      <c r="C8" s="64" t="inlineStr">
        <is>
          <t>Digital Campaign</t>
        </is>
      </c>
      <c r="D8" s="63" t="inlineStr">
        <is>
          <t>Jun'26</t>
        </is>
      </c>
      <c r="E8" s="63" t="inlineStr">
        <is>
          <t>Jun'26</t>
        </is>
      </c>
      <c r="F8" s="63" t="inlineStr">
        <is>
          <t>Reliance Retail</t>
        </is>
      </c>
      <c r="G8" s="63" t="inlineStr">
        <is>
          <t>Mamaearth</t>
        </is>
      </c>
      <c r="H8" s="63" t="inlineStr">
        <is>
          <t>Face</t>
        </is>
      </c>
      <c r="I8" s="64" t="inlineStr">
        <is>
          <t>Sunscreen range</t>
        </is>
      </c>
      <c r="J8" s="63" t="inlineStr">
        <is>
          <t>West</t>
        </is>
      </c>
      <c r="K8" s="63" t="inlineStr">
        <is>
          <t>West</t>
        </is>
      </c>
      <c r="L8" s="63" t="inlineStr">
        <is>
          <t>Maharashtra</t>
        </is>
      </c>
      <c r="M8" s="63" t="inlineStr">
        <is>
          <t>Reliance DC Mumbai</t>
        </is>
      </c>
      <c r="N8" s="63" t="inlineStr">
        <is>
          <t>Mumbai</t>
        </is>
      </c>
      <c r="O8" s="63" t="inlineStr">
        <is>
          <t>Percentage</t>
        </is>
      </c>
      <c r="P8" s="65" t="n">
        <v>0.12</v>
      </c>
      <c r="Q8" s="66" t="n"/>
      <c r="R8" s="66" t="n"/>
      <c r="S8" s="66" t="n"/>
      <c r="T8" s="65" t="n">
        <v>0.7</v>
      </c>
      <c r="U8" s="63" t="inlineStr">
        <is>
          <t>Medium</t>
        </is>
      </c>
      <c r="V8" s="63" t="inlineStr">
        <is>
          <t>Brand</t>
        </is>
      </c>
      <c r="W8" s="63" t="inlineStr">
        <is>
          <t>Approved</t>
        </is>
      </c>
      <c r="X8" s="41">
        <f>IF((ISNUMBER(SEARCH("NPI",C8))+ISNUMBER(SEARCH("Launch",C8))+ISNUMBER(SEARCH("Relaunch",C8))+ISNUMBER(SEARCH("Listing",C8))+ISNUMBER(SEARCH("Distribution",C8))+ISNUMBER(SEARCH("Store",C8))+ISNUMBER(SEARCH("Warehouse",C8))+ISNUMBER(SEARCH("Distributor",C8))+ISNUMBER(SEARCH("Market",C8))+ISNUMBER(SEARCH("Export",C8))+ISNUMBER(SEARCH("Institutional",C8)))&gt;0,"RAMP","DECAY")</f>
        <v/>
      </c>
      <c r="Y8" s="41">
        <f>IFERROR(MATCH(D8,Calendar!$B$3:$B$38,0),0)</f>
        <v/>
      </c>
      <c r="Z8" s="41">
        <f>IFERROR(MATCH(E8,Calendar!$B$3:$B$38,0),Y8)</f>
        <v/>
      </c>
      <c r="AA8" s="67">
        <f>IFERROR(INDEX('Event Settings'!$B$11:$B$14,MATCH(U8,'Event Settings'!$A$11:$A$14,0)),0.5)</f>
        <v/>
      </c>
      <c r="AB8" s="68">
        <f>IFERROR(INDEX('Chain Event Library'!$C$4:$C$19,MATCH(F8&amp;"|"&amp;C8,'Chain Event Library'!$E$4:$E$19,0)),IFERROR(INDEX('Article Event Library'!$C$4:$C$13,MATCH(H8&amp;"|"&amp;C8,'Article Event Library'!$E$4:$E$13,0)),0))</f>
        <v/>
      </c>
      <c r="AC8" s="68">
        <f>IF(P8&lt;&gt;"",P8,AB8)</f>
        <v/>
      </c>
      <c r="AD8" s="68">
        <f>IF(W8="Approved",1,0)*AC8*T8*AA8*(IFERROR(INDEX('Seasonality Matrix'!$B$4:$M$11,MATCH(H8,'Seasonality Matrix'!$A$4:$A$11,0),MATCH('Control Panel'!$B$12,'Seasonality Matrix'!$B$3:$M$3,0))/IFERROR(INDEX('Seasonality Matrix'!$N$4:$N$11,MATCH(H8,'Seasonality Matrix'!$A$4:$A$11,0)),1),1))*(IF(X8="RAMP",IF('Control Panel'!$B$9-Y8&lt;0,0,INDEX('Event Settings'!$B$18:$B$23,MIN('Control Panel'!$B$9-Y8+1,6))),IF('Control Panel'!$B$9&lt;Y8,0,IF('Control Panel'!$B$9&lt;=Z8,1,IFERROR(INDEX('Event Settings'!$B$27:$B$30,MIN('Control Panel'!$B$9-Z8+1,4)),0)))))</f>
        <v/>
      </c>
      <c r="AE8" s="68">
        <f>IF(W8="Approved",1,0)*AC8*T8*AA8*(IFERROR(INDEX('Seasonality Matrix'!$B$4:$M$11,MATCH(H8,'Seasonality Matrix'!$A$4:$A$11,0),MATCH('Control Panel'!$B$13,'Seasonality Matrix'!$B$3:$M$3,0))/IFERROR(INDEX('Seasonality Matrix'!$N$4:$N$11,MATCH(H8,'Seasonality Matrix'!$A$4:$A$11,0)),1),1))*(IF(X8="RAMP",IF('Control Panel'!$B$10-Y8&lt;0,0,INDEX('Event Settings'!$B$18:$B$23,MIN('Control Panel'!$B$10-Y8+1,6))),IF('Control Panel'!$B$10&lt;Y8,0,IF('Control Panel'!$B$10&lt;=Z8,1,IFERROR(INDEX('Event Settings'!$B$27:$B$30,MIN('Control Panel'!$B$10-Z8+1,4)),0)))))</f>
        <v/>
      </c>
      <c r="AF8" s="68">
        <f>IF(W8="Approved",1,0)*AC8*T8*AA8*(IFERROR(INDEX('Seasonality Matrix'!$B$4:$M$11,MATCH(H8,'Seasonality Matrix'!$A$4:$A$11,0),MATCH('Control Panel'!$B$14,'Seasonality Matrix'!$B$3:$M$3,0))/IFERROR(INDEX('Seasonality Matrix'!$N$4:$N$11,MATCH(H8,'Seasonality Matrix'!$A$4:$A$11,0)),1),1))*(IF(X8="RAMP",IF('Control Panel'!$B$11-Y8&lt;0,0,INDEX('Event Settings'!$B$18:$B$23,MIN('Control Panel'!$B$11-Y8+1,6))),IF('Control Panel'!$B$11&lt;Y8,0,IF('Control Panel'!$B$11&lt;=Z8,1,IFERROR(INDEX('Event Settings'!$B$27:$B$30,MIN('Control Panel'!$B$11-Z8+1,4)),0)))))</f>
        <v/>
      </c>
      <c r="AG8" s="69">
        <f>IF(W8="Approved",1,0)*(Q8*'Event Settings'!$B$4/10000000*(IF('Control Panel'!$B$9=Y8,1,0))+R8*S8*'Event Settings'!$B$4/10000000*(IF(X8="RAMP",IF('Control Panel'!$B$9-Y8&lt;0,0,INDEX('Event Settings'!$B$18:$B$23,MIN('Control Panel'!$B$9-Y8+1,6))),IF('Control Panel'!$B$9&lt;Y8,0,IF('Control Panel'!$B$9&lt;=Z8,1,IFERROR(INDEX('Event Settings'!$B$27:$B$30,MIN('Control Panel'!$B$9-Z8+1,4)),0))))))</f>
        <v/>
      </c>
      <c r="AH8" s="69">
        <f>IF(W8="Approved",1,0)*(Q8*'Event Settings'!$B$4/10000000*(IF('Control Panel'!$B$10=Y8,1,0))+R8*S8*'Event Settings'!$B$4/10000000*(IF(X8="RAMP",IF('Control Panel'!$B$10-Y8&lt;0,0,INDEX('Event Settings'!$B$18:$B$23,MIN('Control Panel'!$B$10-Y8+1,6))),IF('Control Panel'!$B$10&lt;Y8,0,IF('Control Panel'!$B$10&lt;=Z8,1,IFERROR(INDEX('Event Settings'!$B$27:$B$30,MIN('Control Panel'!$B$10-Z8+1,4)),0))))))</f>
        <v/>
      </c>
      <c r="AI8" s="69">
        <f>IF(W8="Approved",1,0)*(Q8*'Event Settings'!$B$4/10000000*(IF('Control Panel'!$B$11=Y8,1,0))+R8*S8*'Event Settings'!$B$4/10000000*(IF(X8="RAMP",IF('Control Panel'!$B$11-Y8&lt;0,0,INDEX('Event Settings'!$B$18:$B$23,MIN('Control Panel'!$B$11-Y8+1,6))),IF('Control Panel'!$B$11&lt;Y8,0,IF('Control Panel'!$B$11&lt;=Z8,1,IFERROR(INDEX('Event Settings'!$B$27:$B$30,MIN('Control Panel'!$B$11-Z8+1,4)),0))))))</f>
        <v/>
      </c>
      <c r="AJ8" s="41">
        <f>IF(AD8&gt;-1,LN(1+AD8),0)</f>
        <v/>
      </c>
      <c r="AK8" s="41">
        <f>IF(AE8&gt;-1,LN(1+AE8),0)</f>
        <v/>
      </c>
      <c r="AL8" s="41">
        <f>IF(AF8&gt;-1,LN(1+AF8),0)</f>
        <v/>
      </c>
      <c r="AM8" s="70">
        <f>SUMIFS('Forecast Engine'!$AK$4:$AK$12,'Forecast Engine'!$A$4:$A$12,G8,'Forecast Engine'!$B$4:$B$12,H8)*AD8+SUMIFS('Forecast Engine'!$AL$4:$AL$12,'Forecast Engine'!$A$4:$A$12,G8,'Forecast Engine'!$B$4:$B$12,H8)*AE8+SUMIFS('Forecast Engine'!$AM$4:$AM$12,'Forecast Engine'!$A$4:$A$12,G8,'Forecast Engine'!$B$4:$B$12,H8)*AF8+AG8+AH8+AI8</f>
        <v/>
      </c>
      <c r="AN8" s="71">
        <f>IFERROR(AM8*10000000/'Event Settings'!$B$4,0)</f>
        <v/>
      </c>
    </row>
    <row r="9">
      <c r="A9" s="63" t="inlineStr">
        <is>
          <t>EV06</t>
        </is>
      </c>
      <c r="B9" s="64" t="inlineStr">
        <is>
          <t>Apollo BOGO Face Wash</t>
        </is>
      </c>
      <c r="C9" s="64" t="inlineStr">
        <is>
          <t>BOGO</t>
        </is>
      </c>
      <c r="D9" s="63" t="inlineStr">
        <is>
          <t>Jul'26</t>
        </is>
      </c>
      <c r="E9" s="63" t="inlineStr">
        <is>
          <t>Jul'26</t>
        </is>
      </c>
      <c r="F9" s="63" t="inlineStr">
        <is>
          <t>Apollo</t>
        </is>
      </c>
      <c r="G9" s="63" t="inlineStr">
        <is>
          <t>The Derma Co.</t>
        </is>
      </c>
      <c r="H9" s="63" t="inlineStr">
        <is>
          <t>Face</t>
        </is>
      </c>
      <c r="I9" s="64" t="inlineStr">
        <is>
          <t>TDC Face Wash 100ml</t>
        </is>
      </c>
      <c r="J9" s="63" t="inlineStr">
        <is>
          <t>South</t>
        </is>
      </c>
      <c r="K9" s="63" t="inlineStr">
        <is>
          <t>South-1</t>
        </is>
      </c>
      <c r="L9" s="63" t="inlineStr">
        <is>
          <t>Telangana</t>
        </is>
      </c>
      <c r="M9" s="63" t="inlineStr">
        <is>
          <t>Apollo Hyderabad</t>
        </is>
      </c>
      <c r="N9" s="63" t="inlineStr">
        <is>
          <t>Bangalore</t>
        </is>
      </c>
      <c r="O9" s="63" t="inlineStr">
        <is>
          <t>Percentage</t>
        </is>
      </c>
      <c r="P9" s="65" t="n"/>
      <c r="Q9" s="66" t="n"/>
      <c r="R9" s="66" t="n"/>
      <c r="S9" s="66" t="n"/>
      <c r="T9" s="65" t="n">
        <v>0.88</v>
      </c>
      <c r="U9" s="63" t="inlineStr">
        <is>
          <t>High</t>
        </is>
      </c>
      <c r="V9" s="63" t="inlineStr">
        <is>
          <t>KAM</t>
        </is>
      </c>
      <c r="W9" s="63" t="inlineStr">
        <is>
          <t>Approved</t>
        </is>
      </c>
      <c r="X9" s="41">
        <f>IF((ISNUMBER(SEARCH("NPI",C9))+ISNUMBER(SEARCH("Launch",C9))+ISNUMBER(SEARCH("Relaunch",C9))+ISNUMBER(SEARCH("Listing",C9))+ISNUMBER(SEARCH("Distribution",C9))+ISNUMBER(SEARCH("Store",C9))+ISNUMBER(SEARCH("Warehouse",C9))+ISNUMBER(SEARCH("Distributor",C9))+ISNUMBER(SEARCH("Market",C9))+ISNUMBER(SEARCH("Export",C9))+ISNUMBER(SEARCH("Institutional",C9)))&gt;0,"RAMP","DECAY")</f>
        <v/>
      </c>
      <c r="Y9" s="41">
        <f>IFERROR(MATCH(D9,Calendar!$B$3:$B$38,0),0)</f>
        <v/>
      </c>
      <c r="Z9" s="41">
        <f>IFERROR(MATCH(E9,Calendar!$B$3:$B$38,0),Y9)</f>
        <v/>
      </c>
      <c r="AA9" s="67">
        <f>IFERROR(INDEX('Event Settings'!$B$11:$B$14,MATCH(U9,'Event Settings'!$A$11:$A$14,0)),0.5)</f>
        <v/>
      </c>
      <c r="AB9" s="68">
        <f>IFERROR(INDEX('Chain Event Library'!$C$4:$C$19,MATCH(F9&amp;"|"&amp;C9,'Chain Event Library'!$E$4:$E$19,0)),IFERROR(INDEX('Article Event Library'!$C$4:$C$13,MATCH(H9&amp;"|"&amp;C9,'Article Event Library'!$E$4:$E$13,0)),0))</f>
        <v/>
      </c>
      <c r="AC9" s="68">
        <f>IF(P9&lt;&gt;"",P9,AB9)</f>
        <v/>
      </c>
      <c r="AD9" s="68">
        <f>IF(W9="Approved",1,0)*AC9*T9*AA9*(IFERROR(INDEX('Seasonality Matrix'!$B$4:$M$11,MATCH(H9,'Seasonality Matrix'!$A$4:$A$11,0),MATCH('Control Panel'!$B$12,'Seasonality Matrix'!$B$3:$M$3,0))/IFERROR(INDEX('Seasonality Matrix'!$N$4:$N$11,MATCH(H9,'Seasonality Matrix'!$A$4:$A$11,0)),1),1))*(IF(X9="RAMP",IF('Control Panel'!$B$9-Y9&lt;0,0,INDEX('Event Settings'!$B$18:$B$23,MIN('Control Panel'!$B$9-Y9+1,6))),IF('Control Panel'!$B$9&lt;Y9,0,IF('Control Panel'!$B$9&lt;=Z9,1,IFERROR(INDEX('Event Settings'!$B$27:$B$30,MIN('Control Panel'!$B$9-Z9+1,4)),0)))))</f>
        <v/>
      </c>
      <c r="AE9" s="68">
        <f>IF(W9="Approved",1,0)*AC9*T9*AA9*(IFERROR(INDEX('Seasonality Matrix'!$B$4:$M$11,MATCH(H9,'Seasonality Matrix'!$A$4:$A$11,0),MATCH('Control Panel'!$B$13,'Seasonality Matrix'!$B$3:$M$3,0))/IFERROR(INDEX('Seasonality Matrix'!$N$4:$N$11,MATCH(H9,'Seasonality Matrix'!$A$4:$A$11,0)),1),1))*(IF(X9="RAMP",IF('Control Panel'!$B$10-Y9&lt;0,0,INDEX('Event Settings'!$B$18:$B$23,MIN('Control Panel'!$B$10-Y9+1,6))),IF('Control Panel'!$B$10&lt;Y9,0,IF('Control Panel'!$B$10&lt;=Z9,1,IFERROR(INDEX('Event Settings'!$B$27:$B$30,MIN('Control Panel'!$B$10-Z9+1,4)),0)))))</f>
        <v/>
      </c>
      <c r="AF9" s="68">
        <f>IF(W9="Approved",1,0)*AC9*T9*AA9*(IFERROR(INDEX('Seasonality Matrix'!$B$4:$M$11,MATCH(H9,'Seasonality Matrix'!$A$4:$A$11,0),MATCH('Control Panel'!$B$14,'Seasonality Matrix'!$B$3:$M$3,0))/IFERROR(INDEX('Seasonality Matrix'!$N$4:$N$11,MATCH(H9,'Seasonality Matrix'!$A$4:$A$11,0)),1),1))*(IF(X9="RAMP",IF('Control Panel'!$B$11-Y9&lt;0,0,INDEX('Event Settings'!$B$18:$B$23,MIN('Control Panel'!$B$11-Y9+1,6))),IF('Control Panel'!$B$11&lt;Y9,0,IF('Control Panel'!$B$11&lt;=Z9,1,IFERROR(INDEX('Event Settings'!$B$27:$B$30,MIN('Control Panel'!$B$11-Z9+1,4)),0)))))</f>
        <v/>
      </c>
      <c r="AG9" s="69">
        <f>IF(W9="Approved",1,0)*(Q9*'Event Settings'!$B$4/10000000*(IF('Control Panel'!$B$9=Y9,1,0))+R9*S9*'Event Settings'!$B$4/10000000*(IF(X9="RAMP",IF('Control Panel'!$B$9-Y9&lt;0,0,INDEX('Event Settings'!$B$18:$B$23,MIN('Control Panel'!$B$9-Y9+1,6))),IF('Control Panel'!$B$9&lt;Y9,0,IF('Control Panel'!$B$9&lt;=Z9,1,IFERROR(INDEX('Event Settings'!$B$27:$B$30,MIN('Control Panel'!$B$9-Z9+1,4)),0))))))</f>
        <v/>
      </c>
      <c r="AH9" s="69">
        <f>IF(W9="Approved",1,0)*(Q9*'Event Settings'!$B$4/10000000*(IF('Control Panel'!$B$10=Y9,1,0))+R9*S9*'Event Settings'!$B$4/10000000*(IF(X9="RAMP",IF('Control Panel'!$B$10-Y9&lt;0,0,INDEX('Event Settings'!$B$18:$B$23,MIN('Control Panel'!$B$10-Y9+1,6))),IF('Control Panel'!$B$10&lt;Y9,0,IF('Control Panel'!$B$10&lt;=Z9,1,IFERROR(INDEX('Event Settings'!$B$27:$B$30,MIN('Control Panel'!$B$10-Z9+1,4)),0))))))</f>
        <v/>
      </c>
      <c r="AI9" s="69">
        <f>IF(W9="Approved",1,0)*(Q9*'Event Settings'!$B$4/10000000*(IF('Control Panel'!$B$11=Y9,1,0))+R9*S9*'Event Settings'!$B$4/10000000*(IF(X9="RAMP",IF('Control Panel'!$B$11-Y9&lt;0,0,INDEX('Event Settings'!$B$18:$B$23,MIN('Control Panel'!$B$11-Y9+1,6))),IF('Control Panel'!$B$11&lt;Y9,0,IF('Control Panel'!$B$11&lt;=Z9,1,IFERROR(INDEX('Event Settings'!$B$27:$B$30,MIN('Control Panel'!$B$11-Z9+1,4)),0))))))</f>
        <v/>
      </c>
      <c r="AJ9" s="41">
        <f>IF(AD9&gt;-1,LN(1+AD9),0)</f>
        <v/>
      </c>
      <c r="AK9" s="41">
        <f>IF(AE9&gt;-1,LN(1+AE9),0)</f>
        <v/>
      </c>
      <c r="AL9" s="41">
        <f>IF(AF9&gt;-1,LN(1+AF9),0)</f>
        <v/>
      </c>
      <c r="AM9" s="70">
        <f>SUMIFS('Forecast Engine'!$AK$4:$AK$12,'Forecast Engine'!$A$4:$A$12,G9,'Forecast Engine'!$B$4:$B$12,H9)*AD9+SUMIFS('Forecast Engine'!$AL$4:$AL$12,'Forecast Engine'!$A$4:$A$12,G9,'Forecast Engine'!$B$4:$B$12,H9)*AE9+SUMIFS('Forecast Engine'!$AM$4:$AM$12,'Forecast Engine'!$A$4:$A$12,G9,'Forecast Engine'!$B$4:$B$12,H9)*AF9+AG9+AH9+AI9</f>
        <v/>
      </c>
      <c r="AN9" s="71">
        <f>IFERROR(AM9*10000000/'Event Settings'!$B$4,0)</f>
        <v/>
      </c>
    </row>
    <row r="10">
      <c r="A10" s="63" t="inlineStr">
        <is>
          <t>EV07</t>
        </is>
      </c>
      <c r="B10" s="64" t="inlineStr">
        <is>
          <t>Distribution Expansion +200 stores</t>
        </is>
      </c>
      <c r="C10" s="64" t="inlineStr">
        <is>
          <t>Distribution Expansion</t>
        </is>
      </c>
      <c r="D10" s="63" t="inlineStr">
        <is>
          <t>Jun'26</t>
        </is>
      </c>
      <c r="E10" s="63" t="inlineStr">
        <is>
          <t>Aug'26</t>
        </is>
      </c>
      <c r="F10" s="63" t="inlineStr">
        <is>
          <t>More Retail</t>
        </is>
      </c>
      <c r="G10" s="63" t="inlineStr">
        <is>
          <t>Aqualogica</t>
        </is>
      </c>
      <c r="H10" s="63" t="inlineStr">
        <is>
          <t>Face</t>
        </is>
      </c>
      <c r="I10" s="64" t="inlineStr">
        <is>
          <t>AQ Face Wash 100ml</t>
        </is>
      </c>
      <c r="J10" s="63" t="inlineStr">
        <is>
          <t>South</t>
        </is>
      </c>
      <c r="K10" s="63" t="inlineStr">
        <is>
          <t>South-1</t>
        </is>
      </c>
      <c r="L10" s="63" t="inlineStr">
        <is>
          <t>Tamil Nadu</t>
        </is>
      </c>
      <c r="M10" s="63" t="inlineStr">
        <is>
          <t>More Chennai</t>
        </is>
      </c>
      <c r="N10" s="63" t="inlineStr">
        <is>
          <t>Bangalore</t>
        </is>
      </c>
      <c r="O10" s="63" t="inlineStr">
        <is>
          <t>Distribution Gain</t>
        </is>
      </c>
      <c r="P10" s="65" t="n"/>
      <c r="Q10" s="66" t="n"/>
      <c r="R10" s="66" t="n">
        <v>200</v>
      </c>
      <c r="S10" s="66" t="n">
        <v>8</v>
      </c>
      <c r="T10" s="65" t="n">
        <v>0.75</v>
      </c>
      <c r="U10" s="63" t="inlineStr">
        <is>
          <t>High</t>
        </is>
      </c>
      <c r="V10" s="63" t="inlineStr">
        <is>
          <t>Sales Head</t>
        </is>
      </c>
      <c r="W10" s="63" t="inlineStr">
        <is>
          <t>Approved</t>
        </is>
      </c>
      <c r="X10" s="41">
        <f>IF((ISNUMBER(SEARCH("NPI",C10))+ISNUMBER(SEARCH("Launch",C10))+ISNUMBER(SEARCH("Relaunch",C10))+ISNUMBER(SEARCH("Listing",C10))+ISNUMBER(SEARCH("Distribution",C10))+ISNUMBER(SEARCH("Store",C10))+ISNUMBER(SEARCH("Warehouse",C10))+ISNUMBER(SEARCH("Distributor",C10))+ISNUMBER(SEARCH("Market",C10))+ISNUMBER(SEARCH("Export",C10))+ISNUMBER(SEARCH("Institutional",C10)))&gt;0,"RAMP","DECAY")</f>
        <v/>
      </c>
      <c r="Y10" s="41">
        <f>IFERROR(MATCH(D10,Calendar!$B$3:$B$38,0),0)</f>
        <v/>
      </c>
      <c r="Z10" s="41">
        <f>IFERROR(MATCH(E10,Calendar!$B$3:$B$38,0),Y10)</f>
        <v/>
      </c>
      <c r="AA10" s="67">
        <f>IFERROR(INDEX('Event Settings'!$B$11:$B$14,MATCH(U10,'Event Settings'!$A$11:$A$14,0)),0.5)</f>
        <v/>
      </c>
      <c r="AB10" s="68">
        <f>IFERROR(INDEX('Chain Event Library'!$C$4:$C$19,MATCH(F10&amp;"|"&amp;C10,'Chain Event Library'!$E$4:$E$19,0)),IFERROR(INDEX('Article Event Library'!$C$4:$C$13,MATCH(H10&amp;"|"&amp;C10,'Article Event Library'!$E$4:$E$13,0)),0))</f>
        <v/>
      </c>
      <c r="AC10" s="68">
        <f>IF(P10&lt;&gt;"",P10,AB10)</f>
        <v/>
      </c>
      <c r="AD10" s="68">
        <f>IF(W10="Approved",1,0)*AC10*T10*AA10*(IFERROR(INDEX('Seasonality Matrix'!$B$4:$M$11,MATCH(H10,'Seasonality Matrix'!$A$4:$A$11,0),MATCH('Control Panel'!$B$12,'Seasonality Matrix'!$B$3:$M$3,0))/IFERROR(INDEX('Seasonality Matrix'!$N$4:$N$11,MATCH(H10,'Seasonality Matrix'!$A$4:$A$11,0)),1),1))*(IF(X10="RAMP",IF('Control Panel'!$B$9-Y10&lt;0,0,INDEX('Event Settings'!$B$18:$B$23,MIN('Control Panel'!$B$9-Y10+1,6))),IF('Control Panel'!$B$9&lt;Y10,0,IF('Control Panel'!$B$9&lt;=Z10,1,IFERROR(INDEX('Event Settings'!$B$27:$B$30,MIN('Control Panel'!$B$9-Z10+1,4)),0)))))</f>
        <v/>
      </c>
      <c r="AE10" s="68">
        <f>IF(W10="Approved",1,0)*AC10*T10*AA10*(IFERROR(INDEX('Seasonality Matrix'!$B$4:$M$11,MATCH(H10,'Seasonality Matrix'!$A$4:$A$11,0),MATCH('Control Panel'!$B$13,'Seasonality Matrix'!$B$3:$M$3,0))/IFERROR(INDEX('Seasonality Matrix'!$N$4:$N$11,MATCH(H10,'Seasonality Matrix'!$A$4:$A$11,0)),1),1))*(IF(X10="RAMP",IF('Control Panel'!$B$10-Y10&lt;0,0,INDEX('Event Settings'!$B$18:$B$23,MIN('Control Panel'!$B$10-Y10+1,6))),IF('Control Panel'!$B$10&lt;Y10,0,IF('Control Panel'!$B$10&lt;=Z10,1,IFERROR(INDEX('Event Settings'!$B$27:$B$30,MIN('Control Panel'!$B$10-Z10+1,4)),0)))))</f>
        <v/>
      </c>
      <c r="AF10" s="68">
        <f>IF(W10="Approved",1,0)*AC10*T10*AA10*(IFERROR(INDEX('Seasonality Matrix'!$B$4:$M$11,MATCH(H10,'Seasonality Matrix'!$A$4:$A$11,0),MATCH('Control Panel'!$B$14,'Seasonality Matrix'!$B$3:$M$3,0))/IFERROR(INDEX('Seasonality Matrix'!$N$4:$N$11,MATCH(H10,'Seasonality Matrix'!$A$4:$A$11,0)),1),1))*(IF(X10="RAMP",IF('Control Panel'!$B$11-Y10&lt;0,0,INDEX('Event Settings'!$B$18:$B$23,MIN('Control Panel'!$B$11-Y10+1,6))),IF('Control Panel'!$B$11&lt;Y10,0,IF('Control Panel'!$B$11&lt;=Z10,1,IFERROR(INDEX('Event Settings'!$B$27:$B$30,MIN('Control Panel'!$B$11-Z10+1,4)),0)))))</f>
        <v/>
      </c>
      <c r="AG10" s="69">
        <f>IF(W10="Approved",1,0)*(Q10*'Event Settings'!$B$4/10000000*(IF('Control Panel'!$B$9=Y10,1,0))+R10*S10*'Event Settings'!$B$4/10000000*(IF(X10="RAMP",IF('Control Panel'!$B$9-Y10&lt;0,0,INDEX('Event Settings'!$B$18:$B$23,MIN('Control Panel'!$B$9-Y10+1,6))),IF('Control Panel'!$B$9&lt;Y10,0,IF('Control Panel'!$B$9&lt;=Z10,1,IFERROR(INDEX('Event Settings'!$B$27:$B$30,MIN('Control Panel'!$B$9-Z10+1,4)),0))))))</f>
        <v/>
      </c>
      <c r="AH10" s="69">
        <f>IF(W10="Approved",1,0)*(Q10*'Event Settings'!$B$4/10000000*(IF('Control Panel'!$B$10=Y10,1,0))+R10*S10*'Event Settings'!$B$4/10000000*(IF(X10="RAMP",IF('Control Panel'!$B$10-Y10&lt;0,0,INDEX('Event Settings'!$B$18:$B$23,MIN('Control Panel'!$B$10-Y10+1,6))),IF('Control Panel'!$B$10&lt;Y10,0,IF('Control Panel'!$B$10&lt;=Z10,1,IFERROR(INDEX('Event Settings'!$B$27:$B$30,MIN('Control Panel'!$B$10-Z10+1,4)),0))))))</f>
        <v/>
      </c>
      <c r="AI10" s="69">
        <f>IF(W10="Approved",1,0)*(Q10*'Event Settings'!$B$4/10000000*(IF('Control Panel'!$B$11=Y10,1,0))+R10*S10*'Event Settings'!$B$4/10000000*(IF(X10="RAMP",IF('Control Panel'!$B$11-Y10&lt;0,0,INDEX('Event Settings'!$B$18:$B$23,MIN('Control Panel'!$B$11-Y10+1,6))),IF('Control Panel'!$B$11&lt;Y10,0,IF('Control Panel'!$B$11&lt;=Z10,1,IFERROR(INDEX('Event Settings'!$B$27:$B$30,MIN('Control Panel'!$B$11-Z10+1,4)),0))))))</f>
        <v/>
      </c>
      <c r="AJ10" s="41">
        <f>IF(AD10&gt;-1,LN(1+AD10),0)</f>
        <v/>
      </c>
      <c r="AK10" s="41">
        <f>IF(AE10&gt;-1,LN(1+AE10),0)</f>
        <v/>
      </c>
      <c r="AL10" s="41">
        <f>IF(AF10&gt;-1,LN(1+AF10),0)</f>
        <v/>
      </c>
      <c r="AM10" s="70">
        <f>SUMIFS('Forecast Engine'!$AK$4:$AK$12,'Forecast Engine'!$A$4:$A$12,G10,'Forecast Engine'!$B$4:$B$12,H10)*AD10+SUMIFS('Forecast Engine'!$AL$4:$AL$12,'Forecast Engine'!$A$4:$A$12,G10,'Forecast Engine'!$B$4:$B$12,H10)*AE10+SUMIFS('Forecast Engine'!$AM$4:$AM$12,'Forecast Engine'!$A$4:$A$12,G10,'Forecast Engine'!$B$4:$B$12,H10)*AF10+AG10+AH10+AI10</f>
        <v/>
      </c>
      <c r="AN10" s="71">
        <f>IFERROR(AM10*10000000/'Event Settings'!$B$4,0)</f>
        <v/>
      </c>
    </row>
    <row r="11">
      <c r="A11" s="63" t="inlineStr">
        <is>
          <t>EV08</t>
        </is>
      </c>
      <c r="B11" s="64" t="inlineStr">
        <is>
          <t>Institutional bulk order</t>
        </is>
      </c>
      <c r="C11" s="64" t="inlineStr">
        <is>
          <t>Institutional Sales</t>
        </is>
      </c>
      <c r="D11" s="63" t="inlineStr">
        <is>
          <t>Jul'26</t>
        </is>
      </c>
      <c r="E11" s="63" t="inlineStr">
        <is>
          <t>Jul'26</t>
        </is>
      </c>
      <c r="F11" s="63" t="inlineStr">
        <is>
          <t>Medanta</t>
        </is>
      </c>
      <c r="G11" s="63" t="inlineStr">
        <is>
          <t>Mamaearth</t>
        </is>
      </c>
      <c r="H11" s="63" t="inlineStr">
        <is>
          <t>Baby</t>
        </is>
      </c>
      <c r="I11" s="64" t="inlineStr">
        <is>
          <t>ME Baby range</t>
        </is>
      </c>
      <c r="J11" s="63" t="inlineStr">
        <is>
          <t>North</t>
        </is>
      </c>
      <c r="K11" s="63" t="inlineStr">
        <is>
          <t>North</t>
        </is>
      </c>
      <c r="L11" s="63" t="inlineStr">
        <is>
          <t>Haryana</t>
        </is>
      </c>
      <c r="M11" s="63" t="inlineStr">
        <is>
          <t>Medanta Gurgaon</t>
        </is>
      </c>
      <c r="N11" s="63" t="inlineStr">
        <is>
          <t>Gurgaon</t>
        </is>
      </c>
      <c r="O11" s="63" t="inlineStr">
        <is>
          <t>Fixed Qty</t>
        </is>
      </c>
      <c r="P11" s="65" t="n"/>
      <c r="Q11" s="66" t="n">
        <v>40000</v>
      </c>
      <c r="R11" s="66" t="n"/>
      <c r="S11" s="66" t="n"/>
      <c r="T11" s="65" t="n">
        <v>0.95</v>
      </c>
      <c r="U11" s="63" t="inlineStr">
        <is>
          <t>Critical</t>
        </is>
      </c>
      <c r="V11" s="63" t="inlineStr">
        <is>
          <t>Sales Head</t>
        </is>
      </c>
      <c r="W11" s="63" t="inlineStr">
        <is>
          <t>Approved</t>
        </is>
      </c>
      <c r="X11" s="41">
        <f>IF((ISNUMBER(SEARCH("NPI",C11))+ISNUMBER(SEARCH("Launch",C11))+ISNUMBER(SEARCH("Relaunch",C11))+ISNUMBER(SEARCH("Listing",C11))+ISNUMBER(SEARCH("Distribution",C11))+ISNUMBER(SEARCH("Store",C11))+ISNUMBER(SEARCH("Warehouse",C11))+ISNUMBER(SEARCH("Distributor",C11))+ISNUMBER(SEARCH("Market",C11))+ISNUMBER(SEARCH("Export",C11))+ISNUMBER(SEARCH("Institutional",C11)))&gt;0,"RAMP","DECAY")</f>
        <v/>
      </c>
      <c r="Y11" s="41">
        <f>IFERROR(MATCH(D11,Calendar!$B$3:$B$38,0),0)</f>
        <v/>
      </c>
      <c r="Z11" s="41">
        <f>IFERROR(MATCH(E11,Calendar!$B$3:$B$38,0),Y11)</f>
        <v/>
      </c>
      <c r="AA11" s="67">
        <f>IFERROR(INDEX('Event Settings'!$B$11:$B$14,MATCH(U11,'Event Settings'!$A$11:$A$14,0)),0.5)</f>
        <v/>
      </c>
      <c r="AB11" s="68">
        <f>IFERROR(INDEX('Chain Event Library'!$C$4:$C$19,MATCH(F11&amp;"|"&amp;C11,'Chain Event Library'!$E$4:$E$19,0)),IFERROR(INDEX('Article Event Library'!$C$4:$C$13,MATCH(H11&amp;"|"&amp;C11,'Article Event Library'!$E$4:$E$13,0)),0))</f>
        <v/>
      </c>
      <c r="AC11" s="68">
        <f>IF(P11&lt;&gt;"",P11,AB11)</f>
        <v/>
      </c>
      <c r="AD11" s="68">
        <f>IF(W11="Approved",1,0)*AC11*T11*AA11*(IFERROR(INDEX('Seasonality Matrix'!$B$4:$M$11,MATCH(H11,'Seasonality Matrix'!$A$4:$A$11,0),MATCH('Control Panel'!$B$12,'Seasonality Matrix'!$B$3:$M$3,0))/IFERROR(INDEX('Seasonality Matrix'!$N$4:$N$11,MATCH(H11,'Seasonality Matrix'!$A$4:$A$11,0)),1),1))*(IF(X11="RAMP",IF('Control Panel'!$B$9-Y11&lt;0,0,INDEX('Event Settings'!$B$18:$B$23,MIN('Control Panel'!$B$9-Y11+1,6))),IF('Control Panel'!$B$9&lt;Y11,0,IF('Control Panel'!$B$9&lt;=Z11,1,IFERROR(INDEX('Event Settings'!$B$27:$B$30,MIN('Control Panel'!$B$9-Z11+1,4)),0)))))</f>
        <v/>
      </c>
      <c r="AE11" s="68">
        <f>IF(W11="Approved",1,0)*AC11*T11*AA11*(IFERROR(INDEX('Seasonality Matrix'!$B$4:$M$11,MATCH(H11,'Seasonality Matrix'!$A$4:$A$11,0),MATCH('Control Panel'!$B$13,'Seasonality Matrix'!$B$3:$M$3,0))/IFERROR(INDEX('Seasonality Matrix'!$N$4:$N$11,MATCH(H11,'Seasonality Matrix'!$A$4:$A$11,0)),1),1))*(IF(X11="RAMP",IF('Control Panel'!$B$10-Y11&lt;0,0,INDEX('Event Settings'!$B$18:$B$23,MIN('Control Panel'!$B$10-Y11+1,6))),IF('Control Panel'!$B$10&lt;Y11,0,IF('Control Panel'!$B$10&lt;=Z11,1,IFERROR(INDEX('Event Settings'!$B$27:$B$30,MIN('Control Panel'!$B$10-Z11+1,4)),0)))))</f>
        <v/>
      </c>
      <c r="AF11" s="68">
        <f>IF(W11="Approved",1,0)*AC11*T11*AA11*(IFERROR(INDEX('Seasonality Matrix'!$B$4:$M$11,MATCH(H11,'Seasonality Matrix'!$A$4:$A$11,0),MATCH('Control Panel'!$B$14,'Seasonality Matrix'!$B$3:$M$3,0))/IFERROR(INDEX('Seasonality Matrix'!$N$4:$N$11,MATCH(H11,'Seasonality Matrix'!$A$4:$A$11,0)),1),1))*(IF(X11="RAMP",IF('Control Panel'!$B$11-Y11&lt;0,0,INDEX('Event Settings'!$B$18:$B$23,MIN('Control Panel'!$B$11-Y11+1,6))),IF('Control Panel'!$B$11&lt;Y11,0,IF('Control Panel'!$B$11&lt;=Z11,1,IFERROR(INDEX('Event Settings'!$B$27:$B$30,MIN('Control Panel'!$B$11-Z11+1,4)),0)))))</f>
        <v/>
      </c>
      <c r="AG11" s="69">
        <f>IF(W11="Approved",1,0)*(Q11*'Event Settings'!$B$4/10000000*(IF('Control Panel'!$B$9=Y11,1,0))+R11*S11*'Event Settings'!$B$4/10000000*(IF(X11="RAMP",IF('Control Panel'!$B$9-Y11&lt;0,0,INDEX('Event Settings'!$B$18:$B$23,MIN('Control Panel'!$B$9-Y11+1,6))),IF('Control Panel'!$B$9&lt;Y11,0,IF('Control Panel'!$B$9&lt;=Z11,1,IFERROR(INDEX('Event Settings'!$B$27:$B$30,MIN('Control Panel'!$B$9-Z11+1,4)),0))))))</f>
        <v/>
      </c>
      <c r="AH11" s="69">
        <f>IF(W11="Approved",1,0)*(Q11*'Event Settings'!$B$4/10000000*(IF('Control Panel'!$B$10=Y11,1,0))+R11*S11*'Event Settings'!$B$4/10000000*(IF(X11="RAMP",IF('Control Panel'!$B$10-Y11&lt;0,0,INDEX('Event Settings'!$B$18:$B$23,MIN('Control Panel'!$B$10-Y11+1,6))),IF('Control Panel'!$B$10&lt;Y11,0,IF('Control Panel'!$B$10&lt;=Z11,1,IFERROR(INDEX('Event Settings'!$B$27:$B$30,MIN('Control Panel'!$B$10-Z11+1,4)),0))))))</f>
        <v/>
      </c>
      <c r="AI11" s="69">
        <f>IF(W11="Approved",1,0)*(Q11*'Event Settings'!$B$4/10000000*(IF('Control Panel'!$B$11=Y11,1,0))+R11*S11*'Event Settings'!$B$4/10000000*(IF(X11="RAMP",IF('Control Panel'!$B$11-Y11&lt;0,0,INDEX('Event Settings'!$B$18:$B$23,MIN('Control Panel'!$B$11-Y11+1,6))),IF('Control Panel'!$B$11&lt;Y11,0,IF('Control Panel'!$B$11&lt;=Z11,1,IFERROR(INDEX('Event Settings'!$B$27:$B$30,MIN('Control Panel'!$B$11-Z11+1,4)),0))))))</f>
        <v/>
      </c>
      <c r="AJ11" s="41">
        <f>IF(AD11&gt;-1,LN(1+AD11),0)</f>
        <v/>
      </c>
      <c r="AK11" s="41">
        <f>IF(AE11&gt;-1,LN(1+AE11),0)</f>
        <v/>
      </c>
      <c r="AL11" s="41">
        <f>IF(AF11&gt;-1,LN(1+AF11),0)</f>
        <v/>
      </c>
      <c r="AM11" s="70">
        <f>SUMIFS('Forecast Engine'!$AK$4:$AK$12,'Forecast Engine'!$A$4:$A$12,G11,'Forecast Engine'!$B$4:$B$12,H11)*AD11+SUMIFS('Forecast Engine'!$AL$4:$AL$12,'Forecast Engine'!$A$4:$A$12,G11,'Forecast Engine'!$B$4:$B$12,H11)*AE11+SUMIFS('Forecast Engine'!$AM$4:$AM$12,'Forecast Engine'!$A$4:$A$12,G11,'Forecast Engine'!$B$4:$B$12,H11)*AF11+AG11+AH11+AI11</f>
        <v/>
      </c>
      <c r="AN11" s="71">
        <f>IFERROR(AM11*10000000/'Event Settings'!$B$4,0)</f>
        <v/>
      </c>
    </row>
    <row r="12">
      <c r="A12" s="63" t="inlineStr">
        <is>
          <t>EV09</t>
        </is>
      </c>
      <c r="B12" s="64" t="inlineStr">
        <is>
          <t>Planning-stage festive push (draft)</t>
        </is>
      </c>
      <c r="C12" s="64" t="inlineStr">
        <is>
          <t>Festival Promotion</t>
        </is>
      </c>
      <c r="D12" s="63" t="inlineStr">
        <is>
          <t>Aug'26</t>
        </is>
      </c>
      <c r="E12" s="63" t="inlineStr">
        <is>
          <t>Aug'26</t>
        </is>
      </c>
      <c r="F12" s="63" t="inlineStr">
        <is>
          <t>D-Mart</t>
        </is>
      </c>
      <c r="G12" s="63" t="inlineStr">
        <is>
          <t>Mamaearth</t>
        </is>
      </c>
      <c r="H12" s="63" t="inlineStr">
        <is>
          <t>Face</t>
        </is>
      </c>
      <c r="I12" s="64" t="inlineStr">
        <is>
          <t>Face range</t>
        </is>
      </c>
      <c r="J12" s="63" t="inlineStr">
        <is>
          <t>West</t>
        </is>
      </c>
      <c r="K12" s="63" t="inlineStr">
        <is>
          <t>West</t>
        </is>
      </c>
      <c r="L12" s="63" t="inlineStr">
        <is>
          <t>Maharashtra</t>
        </is>
      </c>
      <c r="M12" s="63" t="inlineStr">
        <is>
          <t>Dmart DC</t>
        </is>
      </c>
      <c r="N12" s="63" t="inlineStr">
        <is>
          <t>Mumbai</t>
        </is>
      </c>
      <c r="O12" s="63" t="inlineStr">
        <is>
          <t>Percentage</t>
        </is>
      </c>
      <c r="P12" s="65" t="n">
        <v>0.1</v>
      </c>
      <c r="Q12" s="66" t="n"/>
      <c r="R12" s="66" t="n"/>
      <c r="S12" s="66" t="n"/>
      <c r="T12" s="65" t="n">
        <v>0.4</v>
      </c>
      <c r="U12" s="63" t="inlineStr">
        <is>
          <t>Low</t>
        </is>
      </c>
      <c r="V12" s="63" t="inlineStr">
        <is>
          <t>-</t>
        </is>
      </c>
      <c r="W12" s="63" t="inlineStr">
        <is>
          <t>Draft</t>
        </is>
      </c>
      <c r="X12" s="41">
        <f>IF((ISNUMBER(SEARCH("NPI",C12))+ISNUMBER(SEARCH("Launch",C12))+ISNUMBER(SEARCH("Relaunch",C12))+ISNUMBER(SEARCH("Listing",C12))+ISNUMBER(SEARCH("Distribution",C12))+ISNUMBER(SEARCH("Store",C12))+ISNUMBER(SEARCH("Warehouse",C12))+ISNUMBER(SEARCH("Distributor",C12))+ISNUMBER(SEARCH("Market",C12))+ISNUMBER(SEARCH("Export",C12))+ISNUMBER(SEARCH("Institutional",C12)))&gt;0,"RAMP","DECAY")</f>
        <v/>
      </c>
      <c r="Y12" s="41">
        <f>IFERROR(MATCH(D12,Calendar!$B$3:$B$38,0),0)</f>
        <v/>
      </c>
      <c r="Z12" s="41">
        <f>IFERROR(MATCH(E12,Calendar!$B$3:$B$38,0),Y12)</f>
        <v/>
      </c>
      <c r="AA12" s="67">
        <f>IFERROR(INDEX('Event Settings'!$B$11:$B$14,MATCH(U12,'Event Settings'!$A$11:$A$14,0)),0.5)</f>
        <v/>
      </c>
      <c r="AB12" s="68">
        <f>IFERROR(INDEX('Chain Event Library'!$C$4:$C$19,MATCH(F12&amp;"|"&amp;C12,'Chain Event Library'!$E$4:$E$19,0)),IFERROR(INDEX('Article Event Library'!$C$4:$C$13,MATCH(H12&amp;"|"&amp;C12,'Article Event Library'!$E$4:$E$13,0)),0))</f>
        <v/>
      </c>
      <c r="AC12" s="68">
        <f>IF(P12&lt;&gt;"",P12,AB12)</f>
        <v/>
      </c>
      <c r="AD12" s="68">
        <f>IF(W12="Approved",1,0)*AC12*T12*AA12*(IFERROR(INDEX('Seasonality Matrix'!$B$4:$M$11,MATCH(H12,'Seasonality Matrix'!$A$4:$A$11,0),MATCH('Control Panel'!$B$12,'Seasonality Matrix'!$B$3:$M$3,0))/IFERROR(INDEX('Seasonality Matrix'!$N$4:$N$11,MATCH(H12,'Seasonality Matrix'!$A$4:$A$11,0)),1),1))*(IF(X12="RAMP",IF('Control Panel'!$B$9-Y12&lt;0,0,INDEX('Event Settings'!$B$18:$B$23,MIN('Control Panel'!$B$9-Y12+1,6))),IF('Control Panel'!$B$9&lt;Y12,0,IF('Control Panel'!$B$9&lt;=Z12,1,IFERROR(INDEX('Event Settings'!$B$27:$B$30,MIN('Control Panel'!$B$9-Z12+1,4)),0)))))</f>
        <v/>
      </c>
      <c r="AE12" s="68">
        <f>IF(W12="Approved",1,0)*AC12*T12*AA12*(IFERROR(INDEX('Seasonality Matrix'!$B$4:$M$11,MATCH(H12,'Seasonality Matrix'!$A$4:$A$11,0),MATCH('Control Panel'!$B$13,'Seasonality Matrix'!$B$3:$M$3,0))/IFERROR(INDEX('Seasonality Matrix'!$N$4:$N$11,MATCH(H12,'Seasonality Matrix'!$A$4:$A$11,0)),1),1))*(IF(X12="RAMP",IF('Control Panel'!$B$10-Y12&lt;0,0,INDEX('Event Settings'!$B$18:$B$23,MIN('Control Panel'!$B$10-Y12+1,6))),IF('Control Panel'!$B$10&lt;Y12,0,IF('Control Panel'!$B$10&lt;=Z12,1,IFERROR(INDEX('Event Settings'!$B$27:$B$30,MIN('Control Panel'!$B$10-Z12+1,4)),0)))))</f>
        <v/>
      </c>
      <c r="AF12" s="68">
        <f>IF(W12="Approved",1,0)*AC12*T12*AA12*(IFERROR(INDEX('Seasonality Matrix'!$B$4:$M$11,MATCH(H12,'Seasonality Matrix'!$A$4:$A$11,0),MATCH('Control Panel'!$B$14,'Seasonality Matrix'!$B$3:$M$3,0))/IFERROR(INDEX('Seasonality Matrix'!$N$4:$N$11,MATCH(H12,'Seasonality Matrix'!$A$4:$A$11,0)),1),1))*(IF(X12="RAMP",IF('Control Panel'!$B$11-Y12&lt;0,0,INDEX('Event Settings'!$B$18:$B$23,MIN('Control Panel'!$B$11-Y12+1,6))),IF('Control Panel'!$B$11&lt;Y12,0,IF('Control Panel'!$B$11&lt;=Z12,1,IFERROR(INDEX('Event Settings'!$B$27:$B$30,MIN('Control Panel'!$B$11-Z12+1,4)),0)))))</f>
        <v/>
      </c>
      <c r="AG12" s="69">
        <f>IF(W12="Approved",1,0)*(Q12*'Event Settings'!$B$4/10000000*(IF('Control Panel'!$B$9=Y12,1,0))+R12*S12*'Event Settings'!$B$4/10000000*(IF(X12="RAMP",IF('Control Panel'!$B$9-Y12&lt;0,0,INDEX('Event Settings'!$B$18:$B$23,MIN('Control Panel'!$B$9-Y12+1,6))),IF('Control Panel'!$B$9&lt;Y12,0,IF('Control Panel'!$B$9&lt;=Z12,1,IFERROR(INDEX('Event Settings'!$B$27:$B$30,MIN('Control Panel'!$B$9-Z12+1,4)),0))))))</f>
        <v/>
      </c>
      <c r="AH12" s="69">
        <f>IF(W12="Approved",1,0)*(Q12*'Event Settings'!$B$4/10000000*(IF('Control Panel'!$B$10=Y12,1,0))+R12*S12*'Event Settings'!$B$4/10000000*(IF(X12="RAMP",IF('Control Panel'!$B$10-Y12&lt;0,0,INDEX('Event Settings'!$B$18:$B$23,MIN('Control Panel'!$B$10-Y12+1,6))),IF('Control Panel'!$B$10&lt;Y12,0,IF('Control Panel'!$B$10&lt;=Z12,1,IFERROR(INDEX('Event Settings'!$B$27:$B$30,MIN('Control Panel'!$B$10-Z12+1,4)),0))))))</f>
        <v/>
      </c>
      <c r="AI12" s="69">
        <f>IF(W12="Approved",1,0)*(Q12*'Event Settings'!$B$4/10000000*(IF('Control Panel'!$B$11=Y12,1,0))+R12*S12*'Event Settings'!$B$4/10000000*(IF(X12="RAMP",IF('Control Panel'!$B$11-Y12&lt;0,0,INDEX('Event Settings'!$B$18:$B$23,MIN('Control Panel'!$B$11-Y12+1,6))),IF('Control Panel'!$B$11&lt;Y12,0,IF('Control Panel'!$B$11&lt;=Z12,1,IFERROR(INDEX('Event Settings'!$B$27:$B$30,MIN('Control Panel'!$B$11-Z12+1,4)),0))))))</f>
        <v/>
      </c>
      <c r="AJ12" s="41">
        <f>IF(AD12&gt;-1,LN(1+AD12),0)</f>
        <v/>
      </c>
      <c r="AK12" s="41">
        <f>IF(AE12&gt;-1,LN(1+AE12),0)</f>
        <v/>
      </c>
      <c r="AL12" s="41">
        <f>IF(AF12&gt;-1,LN(1+AF12),0)</f>
        <v/>
      </c>
      <c r="AM12" s="70">
        <f>SUMIFS('Forecast Engine'!$AK$4:$AK$12,'Forecast Engine'!$A$4:$A$12,G12,'Forecast Engine'!$B$4:$B$12,H12)*AD12+SUMIFS('Forecast Engine'!$AL$4:$AL$12,'Forecast Engine'!$A$4:$A$12,G12,'Forecast Engine'!$B$4:$B$12,H12)*AE12+SUMIFS('Forecast Engine'!$AM$4:$AM$12,'Forecast Engine'!$A$4:$A$12,G12,'Forecast Engine'!$B$4:$B$12,H12)*AF12+AG12+AH12+AI12</f>
        <v/>
      </c>
      <c r="AN12" s="71">
        <f>IFERROR(AM12*10000000/'Event Settings'!$B$4,0)</f>
        <v/>
      </c>
    </row>
    <row r="13">
      <c r="A13" s="63" t="n"/>
      <c r="B13" s="64" t="n"/>
      <c r="C13" s="64" t="n"/>
      <c r="D13" s="63" t="n"/>
      <c r="E13" s="63" t="n"/>
      <c r="F13" s="63" t="n"/>
      <c r="G13" s="63" t="n"/>
      <c r="H13" s="63" t="n"/>
      <c r="I13" s="64" t="n"/>
      <c r="J13" s="63" t="n"/>
      <c r="K13" s="63" t="n"/>
      <c r="L13" s="63" t="n"/>
      <c r="M13" s="63" t="n"/>
      <c r="N13" s="63" t="n"/>
      <c r="O13" s="63" t="n"/>
      <c r="P13" s="65" t="n"/>
      <c r="Q13" s="66" t="n"/>
      <c r="R13" s="66" t="n"/>
      <c r="S13" s="66" t="n"/>
      <c r="T13" s="65" t="n"/>
      <c r="U13" s="63" t="n"/>
      <c r="V13" s="63" t="n"/>
      <c r="W13" s="63" t="n"/>
      <c r="X13" s="41">
        <f>IF((ISNUMBER(SEARCH("NPI",C13))+ISNUMBER(SEARCH("Launch",C13))+ISNUMBER(SEARCH("Relaunch",C13))+ISNUMBER(SEARCH("Listing",C13))+ISNUMBER(SEARCH("Distribution",C13))+ISNUMBER(SEARCH("Store",C13))+ISNUMBER(SEARCH("Warehouse",C13))+ISNUMBER(SEARCH("Distributor",C13))+ISNUMBER(SEARCH("Market",C13))+ISNUMBER(SEARCH("Export",C13))+ISNUMBER(SEARCH("Institutional",C13)))&gt;0,"RAMP","DECAY")</f>
        <v/>
      </c>
      <c r="Y13" s="41">
        <f>IFERROR(MATCH(D13,Calendar!$B$3:$B$38,0),0)</f>
        <v/>
      </c>
      <c r="Z13" s="41">
        <f>IFERROR(MATCH(E13,Calendar!$B$3:$B$38,0),Y13)</f>
        <v/>
      </c>
      <c r="AA13" s="67">
        <f>IFERROR(INDEX('Event Settings'!$B$11:$B$14,MATCH(U13,'Event Settings'!$A$11:$A$14,0)),0.5)</f>
        <v/>
      </c>
      <c r="AB13" s="68">
        <f>IFERROR(INDEX('Chain Event Library'!$C$4:$C$19,MATCH(F13&amp;"|"&amp;C13,'Chain Event Library'!$E$4:$E$19,0)),IFERROR(INDEX('Article Event Library'!$C$4:$C$13,MATCH(H13&amp;"|"&amp;C13,'Article Event Library'!$E$4:$E$13,0)),0))</f>
        <v/>
      </c>
      <c r="AC13" s="68">
        <f>IF(P13&lt;&gt;"",P13,AB13)</f>
        <v/>
      </c>
      <c r="AD13" s="68">
        <f>IF(W13="Approved",1,0)*AC13*T13*AA13*(IFERROR(INDEX('Seasonality Matrix'!$B$4:$M$11,MATCH(H13,'Seasonality Matrix'!$A$4:$A$11,0),MATCH('Control Panel'!$B$12,'Seasonality Matrix'!$B$3:$M$3,0))/IFERROR(INDEX('Seasonality Matrix'!$N$4:$N$11,MATCH(H13,'Seasonality Matrix'!$A$4:$A$11,0)),1),1))*(IF(X13="RAMP",IF('Control Panel'!$B$9-Y13&lt;0,0,INDEX('Event Settings'!$B$18:$B$23,MIN('Control Panel'!$B$9-Y13+1,6))),IF('Control Panel'!$B$9&lt;Y13,0,IF('Control Panel'!$B$9&lt;=Z13,1,IFERROR(INDEX('Event Settings'!$B$27:$B$30,MIN('Control Panel'!$B$9-Z13+1,4)),0)))))</f>
        <v/>
      </c>
      <c r="AE13" s="68">
        <f>IF(W13="Approved",1,0)*AC13*T13*AA13*(IFERROR(INDEX('Seasonality Matrix'!$B$4:$M$11,MATCH(H13,'Seasonality Matrix'!$A$4:$A$11,0),MATCH('Control Panel'!$B$13,'Seasonality Matrix'!$B$3:$M$3,0))/IFERROR(INDEX('Seasonality Matrix'!$N$4:$N$11,MATCH(H13,'Seasonality Matrix'!$A$4:$A$11,0)),1),1))*(IF(X13="RAMP",IF('Control Panel'!$B$10-Y13&lt;0,0,INDEX('Event Settings'!$B$18:$B$23,MIN('Control Panel'!$B$10-Y13+1,6))),IF('Control Panel'!$B$10&lt;Y13,0,IF('Control Panel'!$B$10&lt;=Z13,1,IFERROR(INDEX('Event Settings'!$B$27:$B$30,MIN('Control Panel'!$B$10-Z13+1,4)),0)))))</f>
        <v/>
      </c>
      <c r="AF13" s="68">
        <f>IF(W13="Approved",1,0)*AC13*T13*AA13*(IFERROR(INDEX('Seasonality Matrix'!$B$4:$M$11,MATCH(H13,'Seasonality Matrix'!$A$4:$A$11,0),MATCH('Control Panel'!$B$14,'Seasonality Matrix'!$B$3:$M$3,0))/IFERROR(INDEX('Seasonality Matrix'!$N$4:$N$11,MATCH(H13,'Seasonality Matrix'!$A$4:$A$11,0)),1),1))*(IF(X13="RAMP",IF('Control Panel'!$B$11-Y13&lt;0,0,INDEX('Event Settings'!$B$18:$B$23,MIN('Control Panel'!$B$11-Y13+1,6))),IF('Control Panel'!$B$11&lt;Y13,0,IF('Control Panel'!$B$11&lt;=Z13,1,IFERROR(INDEX('Event Settings'!$B$27:$B$30,MIN('Control Panel'!$B$11-Z13+1,4)),0)))))</f>
        <v/>
      </c>
      <c r="AG13" s="69">
        <f>IF(W13="Approved",1,0)*(Q13*'Event Settings'!$B$4/10000000*(IF('Control Panel'!$B$9=Y13,1,0))+R13*S13*'Event Settings'!$B$4/10000000*(IF(X13="RAMP",IF('Control Panel'!$B$9-Y13&lt;0,0,INDEX('Event Settings'!$B$18:$B$23,MIN('Control Panel'!$B$9-Y13+1,6))),IF('Control Panel'!$B$9&lt;Y13,0,IF('Control Panel'!$B$9&lt;=Z13,1,IFERROR(INDEX('Event Settings'!$B$27:$B$30,MIN('Control Panel'!$B$9-Z13+1,4)),0))))))</f>
        <v/>
      </c>
      <c r="AH13" s="69">
        <f>IF(W13="Approved",1,0)*(Q13*'Event Settings'!$B$4/10000000*(IF('Control Panel'!$B$10=Y13,1,0))+R13*S13*'Event Settings'!$B$4/10000000*(IF(X13="RAMP",IF('Control Panel'!$B$10-Y13&lt;0,0,INDEX('Event Settings'!$B$18:$B$23,MIN('Control Panel'!$B$10-Y13+1,6))),IF('Control Panel'!$B$10&lt;Y13,0,IF('Control Panel'!$B$10&lt;=Z13,1,IFERROR(INDEX('Event Settings'!$B$27:$B$30,MIN('Control Panel'!$B$10-Z13+1,4)),0))))))</f>
        <v/>
      </c>
      <c r="AI13" s="69">
        <f>IF(W13="Approved",1,0)*(Q13*'Event Settings'!$B$4/10000000*(IF('Control Panel'!$B$11=Y13,1,0))+R13*S13*'Event Settings'!$B$4/10000000*(IF(X13="RAMP",IF('Control Panel'!$B$11-Y13&lt;0,0,INDEX('Event Settings'!$B$18:$B$23,MIN('Control Panel'!$B$11-Y13+1,6))),IF('Control Panel'!$B$11&lt;Y13,0,IF('Control Panel'!$B$11&lt;=Z13,1,IFERROR(INDEX('Event Settings'!$B$27:$B$30,MIN('Control Panel'!$B$11-Z13+1,4)),0))))))</f>
        <v/>
      </c>
      <c r="AJ13" s="41">
        <f>IF(AD13&gt;-1,LN(1+AD13),0)</f>
        <v/>
      </c>
      <c r="AK13" s="41">
        <f>IF(AE13&gt;-1,LN(1+AE13),0)</f>
        <v/>
      </c>
      <c r="AL13" s="41">
        <f>IF(AF13&gt;-1,LN(1+AF13),0)</f>
        <v/>
      </c>
      <c r="AM13" s="70">
        <f>SUMIFS('Forecast Engine'!$AK$4:$AK$12,'Forecast Engine'!$A$4:$A$12,G13,'Forecast Engine'!$B$4:$B$12,H13)*AD13+SUMIFS('Forecast Engine'!$AL$4:$AL$12,'Forecast Engine'!$A$4:$A$12,G13,'Forecast Engine'!$B$4:$B$12,H13)*AE13+SUMIFS('Forecast Engine'!$AM$4:$AM$12,'Forecast Engine'!$A$4:$A$12,G13,'Forecast Engine'!$B$4:$B$12,H13)*AF13+AG13+AH13+AI13</f>
        <v/>
      </c>
      <c r="AN13" s="71">
        <f>IFERROR(AM13*10000000/'Event Settings'!$B$4,0)</f>
        <v/>
      </c>
    </row>
    <row r="14">
      <c r="A14" s="63" t="n"/>
      <c r="B14" s="64" t="n"/>
      <c r="C14" s="64" t="n"/>
      <c r="D14" s="63" t="n"/>
      <c r="E14" s="63" t="n"/>
      <c r="F14" s="63" t="n"/>
      <c r="G14" s="63" t="n"/>
      <c r="H14" s="63" t="n"/>
      <c r="I14" s="64" t="n"/>
      <c r="J14" s="63" t="n"/>
      <c r="K14" s="63" t="n"/>
      <c r="L14" s="63" t="n"/>
      <c r="M14" s="63" t="n"/>
      <c r="N14" s="63" t="n"/>
      <c r="O14" s="63" t="n"/>
      <c r="P14" s="65" t="n"/>
      <c r="Q14" s="66" t="n"/>
      <c r="R14" s="66" t="n"/>
      <c r="S14" s="66" t="n"/>
      <c r="T14" s="65" t="n"/>
      <c r="U14" s="63" t="n"/>
      <c r="V14" s="63" t="n"/>
      <c r="W14" s="63" t="n"/>
      <c r="X14" s="41">
        <f>IF((ISNUMBER(SEARCH("NPI",C14))+ISNUMBER(SEARCH("Launch",C14))+ISNUMBER(SEARCH("Relaunch",C14))+ISNUMBER(SEARCH("Listing",C14))+ISNUMBER(SEARCH("Distribution",C14))+ISNUMBER(SEARCH("Store",C14))+ISNUMBER(SEARCH("Warehouse",C14))+ISNUMBER(SEARCH("Distributor",C14))+ISNUMBER(SEARCH("Market",C14))+ISNUMBER(SEARCH("Export",C14))+ISNUMBER(SEARCH("Institutional",C14)))&gt;0,"RAMP","DECAY")</f>
        <v/>
      </c>
      <c r="Y14" s="41">
        <f>IFERROR(MATCH(D14,Calendar!$B$3:$B$38,0),0)</f>
        <v/>
      </c>
      <c r="Z14" s="41">
        <f>IFERROR(MATCH(E14,Calendar!$B$3:$B$38,0),Y14)</f>
        <v/>
      </c>
      <c r="AA14" s="67">
        <f>IFERROR(INDEX('Event Settings'!$B$11:$B$14,MATCH(U14,'Event Settings'!$A$11:$A$14,0)),0.5)</f>
        <v/>
      </c>
      <c r="AB14" s="68">
        <f>IFERROR(INDEX('Chain Event Library'!$C$4:$C$19,MATCH(F14&amp;"|"&amp;C14,'Chain Event Library'!$E$4:$E$19,0)),IFERROR(INDEX('Article Event Library'!$C$4:$C$13,MATCH(H14&amp;"|"&amp;C14,'Article Event Library'!$E$4:$E$13,0)),0))</f>
        <v/>
      </c>
      <c r="AC14" s="68">
        <f>IF(P14&lt;&gt;"",P14,AB14)</f>
        <v/>
      </c>
      <c r="AD14" s="68">
        <f>IF(W14="Approved",1,0)*AC14*T14*AA14*(IFERROR(INDEX('Seasonality Matrix'!$B$4:$M$11,MATCH(H14,'Seasonality Matrix'!$A$4:$A$11,0),MATCH('Control Panel'!$B$12,'Seasonality Matrix'!$B$3:$M$3,0))/IFERROR(INDEX('Seasonality Matrix'!$N$4:$N$11,MATCH(H14,'Seasonality Matrix'!$A$4:$A$11,0)),1),1))*(IF(X14="RAMP",IF('Control Panel'!$B$9-Y14&lt;0,0,INDEX('Event Settings'!$B$18:$B$23,MIN('Control Panel'!$B$9-Y14+1,6))),IF('Control Panel'!$B$9&lt;Y14,0,IF('Control Panel'!$B$9&lt;=Z14,1,IFERROR(INDEX('Event Settings'!$B$27:$B$30,MIN('Control Panel'!$B$9-Z14+1,4)),0)))))</f>
        <v/>
      </c>
      <c r="AE14" s="68">
        <f>IF(W14="Approved",1,0)*AC14*T14*AA14*(IFERROR(INDEX('Seasonality Matrix'!$B$4:$M$11,MATCH(H14,'Seasonality Matrix'!$A$4:$A$11,0),MATCH('Control Panel'!$B$13,'Seasonality Matrix'!$B$3:$M$3,0))/IFERROR(INDEX('Seasonality Matrix'!$N$4:$N$11,MATCH(H14,'Seasonality Matrix'!$A$4:$A$11,0)),1),1))*(IF(X14="RAMP",IF('Control Panel'!$B$10-Y14&lt;0,0,INDEX('Event Settings'!$B$18:$B$23,MIN('Control Panel'!$B$10-Y14+1,6))),IF('Control Panel'!$B$10&lt;Y14,0,IF('Control Panel'!$B$10&lt;=Z14,1,IFERROR(INDEX('Event Settings'!$B$27:$B$30,MIN('Control Panel'!$B$10-Z14+1,4)),0)))))</f>
        <v/>
      </c>
      <c r="AF14" s="68">
        <f>IF(W14="Approved",1,0)*AC14*T14*AA14*(IFERROR(INDEX('Seasonality Matrix'!$B$4:$M$11,MATCH(H14,'Seasonality Matrix'!$A$4:$A$11,0),MATCH('Control Panel'!$B$14,'Seasonality Matrix'!$B$3:$M$3,0))/IFERROR(INDEX('Seasonality Matrix'!$N$4:$N$11,MATCH(H14,'Seasonality Matrix'!$A$4:$A$11,0)),1),1))*(IF(X14="RAMP",IF('Control Panel'!$B$11-Y14&lt;0,0,INDEX('Event Settings'!$B$18:$B$23,MIN('Control Panel'!$B$11-Y14+1,6))),IF('Control Panel'!$B$11&lt;Y14,0,IF('Control Panel'!$B$11&lt;=Z14,1,IFERROR(INDEX('Event Settings'!$B$27:$B$30,MIN('Control Panel'!$B$11-Z14+1,4)),0)))))</f>
        <v/>
      </c>
      <c r="AG14" s="69">
        <f>IF(W14="Approved",1,0)*(Q14*'Event Settings'!$B$4/10000000*(IF('Control Panel'!$B$9=Y14,1,0))+R14*S14*'Event Settings'!$B$4/10000000*(IF(X14="RAMP",IF('Control Panel'!$B$9-Y14&lt;0,0,INDEX('Event Settings'!$B$18:$B$23,MIN('Control Panel'!$B$9-Y14+1,6))),IF('Control Panel'!$B$9&lt;Y14,0,IF('Control Panel'!$B$9&lt;=Z14,1,IFERROR(INDEX('Event Settings'!$B$27:$B$30,MIN('Control Panel'!$B$9-Z14+1,4)),0))))))</f>
        <v/>
      </c>
      <c r="AH14" s="69">
        <f>IF(W14="Approved",1,0)*(Q14*'Event Settings'!$B$4/10000000*(IF('Control Panel'!$B$10=Y14,1,0))+R14*S14*'Event Settings'!$B$4/10000000*(IF(X14="RAMP",IF('Control Panel'!$B$10-Y14&lt;0,0,INDEX('Event Settings'!$B$18:$B$23,MIN('Control Panel'!$B$10-Y14+1,6))),IF('Control Panel'!$B$10&lt;Y14,0,IF('Control Panel'!$B$10&lt;=Z14,1,IFERROR(INDEX('Event Settings'!$B$27:$B$30,MIN('Control Panel'!$B$10-Z14+1,4)),0))))))</f>
        <v/>
      </c>
      <c r="AI14" s="69">
        <f>IF(W14="Approved",1,0)*(Q14*'Event Settings'!$B$4/10000000*(IF('Control Panel'!$B$11=Y14,1,0))+R14*S14*'Event Settings'!$B$4/10000000*(IF(X14="RAMP",IF('Control Panel'!$B$11-Y14&lt;0,0,INDEX('Event Settings'!$B$18:$B$23,MIN('Control Panel'!$B$11-Y14+1,6))),IF('Control Panel'!$B$11&lt;Y14,0,IF('Control Panel'!$B$11&lt;=Z14,1,IFERROR(INDEX('Event Settings'!$B$27:$B$30,MIN('Control Panel'!$B$11-Z14+1,4)),0))))))</f>
        <v/>
      </c>
      <c r="AJ14" s="41">
        <f>IF(AD14&gt;-1,LN(1+AD14),0)</f>
        <v/>
      </c>
      <c r="AK14" s="41">
        <f>IF(AE14&gt;-1,LN(1+AE14),0)</f>
        <v/>
      </c>
      <c r="AL14" s="41">
        <f>IF(AF14&gt;-1,LN(1+AF14),0)</f>
        <v/>
      </c>
      <c r="AM14" s="70">
        <f>SUMIFS('Forecast Engine'!$AK$4:$AK$12,'Forecast Engine'!$A$4:$A$12,G14,'Forecast Engine'!$B$4:$B$12,H14)*AD14+SUMIFS('Forecast Engine'!$AL$4:$AL$12,'Forecast Engine'!$A$4:$A$12,G14,'Forecast Engine'!$B$4:$B$12,H14)*AE14+SUMIFS('Forecast Engine'!$AM$4:$AM$12,'Forecast Engine'!$A$4:$A$12,G14,'Forecast Engine'!$B$4:$B$12,H14)*AF14+AG14+AH14+AI14</f>
        <v/>
      </c>
      <c r="AN14" s="71">
        <f>IFERROR(AM14*10000000/'Event Settings'!$B$4,0)</f>
        <v/>
      </c>
    </row>
    <row r="15">
      <c r="A15" s="63" t="n"/>
      <c r="B15" s="64" t="n"/>
      <c r="C15" s="64" t="n"/>
      <c r="D15" s="63" t="n"/>
      <c r="E15" s="63" t="n"/>
      <c r="F15" s="63" t="n"/>
      <c r="G15" s="63" t="n"/>
      <c r="H15" s="63" t="n"/>
      <c r="I15" s="64" t="n"/>
      <c r="J15" s="63" t="n"/>
      <c r="K15" s="63" t="n"/>
      <c r="L15" s="63" t="n"/>
      <c r="M15" s="63" t="n"/>
      <c r="N15" s="63" t="n"/>
      <c r="O15" s="63" t="n"/>
      <c r="P15" s="65" t="n"/>
      <c r="Q15" s="66" t="n"/>
      <c r="R15" s="66" t="n"/>
      <c r="S15" s="66" t="n"/>
      <c r="T15" s="65" t="n"/>
      <c r="U15" s="63" t="n"/>
      <c r="V15" s="63" t="n"/>
      <c r="W15" s="63" t="n"/>
      <c r="X15" s="41">
        <f>IF((ISNUMBER(SEARCH("NPI",C15))+ISNUMBER(SEARCH("Launch",C15))+ISNUMBER(SEARCH("Relaunch",C15))+ISNUMBER(SEARCH("Listing",C15))+ISNUMBER(SEARCH("Distribution",C15))+ISNUMBER(SEARCH("Store",C15))+ISNUMBER(SEARCH("Warehouse",C15))+ISNUMBER(SEARCH("Distributor",C15))+ISNUMBER(SEARCH("Market",C15))+ISNUMBER(SEARCH("Export",C15))+ISNUMBER(SEARCH("Institutional",C15)))&gt;0,"RAMP","DECAY")</f>
        <v/>
      </c>
      <c r="Y15" s="41">
        <f>IFERROR(MATCH(D15,Calendar!$B$3:$B$38,0),0)</f>
        <v/>
      </c>
      <c r="Z15" s="41">
        <f>IFERROR(MATCH(E15,Calendar!$B$3:$B$38,0),Y15)</f>
        <v/>
      </c>
      <c r="AA15" s="67">
        <f>IFERROR(INDEX('Event Settings'!$B$11:$B$14,MATCH(U15,'Event Settings'!$A$11:$A$14,0)),0.5)</f>
        <v/>
      </c>
      <c r="AB15" s="68">
        <f>IFERROR(INDEX('Chain Event Library'!$C$4:$C$19,MATCH(F15&amp;"|"&amp;C15,'Chain Event Library'!$E$4:$E$19,0)),IFERROR(INDEX('Article Event Library'!$C$4:$C$13,MATCH(H15&amp;"|"&amp;C15,'Article Event Library'!$E$4:$E$13,0)),0))</f>
        <v/>
      </c>
      <c r="AC15" s="68">
        <f>IF(P15&lt;&gt;"",P15,AB15)</f>
        <v/>
      </c>
      <c r="AD15" s="68">
        <f>IF(W15="Approved",1,0)*AC15*T15*AA15*(IFERROR(INDEX('Seasonality Matrix'!$B$4:$M$11,MATCH(H15,'Seasonality Matrix'!$A$4:$A$11,0),MATCH('Control Panel'!$B$12,'Seasonality Matrix'!$B$3:$M$3,0))/IFERROR(INDEX('Seasonality Matrix'!$N$4:$N$11,MATCH(H15,'Seasonality Matrix'!$A$4:$A$11,0)),1),1))*(IF(X15="RAMP",IF('Control Panel'!$B$9-Y15&lt;0,0,INDEX('Event Settings'!$B$18:$B$23,MIN('Control Panel'!$B$9-Y15+1,6))),IF('Control Panel'!$B$9&lt;Y15,0,IF('Control Panel'!$B$9&lt;=Z15,1,IFERROR(INDEX('Event Settings'!$B$27:$B$30,MIN('Control Panel'!$B$9-Z15+1,4)),0)))))</f>
        <v/>
      </c>
      <c r="AE15" s="68">
        <f>IF(W15="Approved",1,0)*AC15*T15*AA15*(IFERROR(INDEX('Seasonality Matrix'!$B$4:$M$11,MATCH(H15,'Seasonality Matrix'!$A$4:$A$11,0),MATCH('Control Panel'!$B$13,'Seasonality Matrix'!$B$3:$M$3,0))/IFERROR(INDEX('Seasonality Matrix'!$N$4:$N$11,MATCH(H15,'Seasonality Matrix'!$A$4:$A$11,0)),1),1))*(IF(X15="RAMP",IF('Control Panel'!$B$10-Y15&lt;0,0,INDEX('Event Settings'!$B$18:$B$23,MIN('Control Panel'!$B$10-Y15+1,6))),IF('Control Panel'!$B$10&lt;Y15,0,IF('Control Panel'!$B$10&lt;=Z15,1,IFERROR(INDEX('Event Settings'!$B$27:$B$30,MIN('Control Panel'!$B$10-Z15+1,4)),0)))))</f>
        <v/>
      </c>
      <c r="AF15" s="68">
        <f>IF(W15="Approved",1,0)*AC15*T15*AA15*(IFERROR(INDEX('Seasonality Matrix'!$B$4:$M$11,MATCH(H15,'Seasonality Matrix'!$A$4:$A$11,0),MATCH('Control Panel'!$B$14,'Seasonality Matrix'!$B$3:$M$3,0))/IFERROR(INDEX('Seasonality Matrix'!$N$4:$N$11,MATCH(H15,'Seasonality Matrix'!$A$4:$A$11,0)),1),1))*(IF(X15="RAMP",IF('Control Panel'!$B$11-Y15&lt;0,0,INDEX('Event Settings'!$B$18:$B$23,MIN('Control Panel'!$B$11-Y15+1,6))),IF('Control Panel'!$B$11&lt;Y15,0,IF('Control Panel'!$B$11&lt;=Z15,1,IFERROR(INDEX('Event Settings'!$B$27:$B$30,MIN('Control Panel'!$B$11-Z15+1,4)),0)))))</f>
        <v/>
      </c>
      <c r="AG15" s="69">
        <f>IF(W15="Approved",1,0)*(Q15*'Event Settings'!$B$4/10000000*(IF('Control Panel'!$B$9=Y15,1,0))+R15*S15*'Event Settings'!$B$4/10000000*(IF(X15="RAMP",IF('Control Panel'!$B$9-Y15&lt;0,0,INDEX('Event Settings'!$B$18:$B$23,MIN('Control Panel'!$B$9-Y15+1,6))),IF('Control Panel'!$B$9&lt;Y15,0,IF('Control Panel'!$B$9&lt;=Z15,1,IFERROR(INDEX('Event Settings'!$B$27:$B$30,MIN('Control Panel'!$B$9-Z15+1,4)),0))))))</f>
        <v/>
      </c>
      <c r="AH15" s="69">
        <f>IF(W15="Approved",1,0)*(Q15*'Event Settings'!$B$4/10000000*(IF('Control Panel'!$B$10=Y15,1,0))+R15*S15*'Event Settings'!$B$4/10000000*(IF(X15="RAMP",IF('Control Panel'!$B$10-Y15&lt;0,0,INDEX('Event Settings'!$B$18:$B$23,MIN('Control Panel'!$B$10-Y15+1,6))),IF('Control Panel'!$B$10&lt;Y15,0,IF('Control Panel'!$B$10&lt;=Z15,1,IFERROR(INDEX('Event Settings'!$B$27:$B$30,MIN('Control Panel'!$B$10-Z15+1,4)),0))))))</f>
        <v/>
      </c>
      <c r="AI15" s="69">
        <f>IF(W15="Approved",1,0)*(Q15*'Event Settings'!$B$4/10000000*(IF('Control Panel'!$B$11=Y15,1,0))+R15*S15*'Event Settings'!$B$4/10000000*(IF(X15="RAMP",IF('Control Panel'!$B$11-Y15&lt;0,0,INDEX('Event Settings'!$B$18:$B$23,MIN('Control Panel'!$B$11-Y15+1,6))),IF('Control Panel'!$B$11&lt;Y15,0,IF('Control Panel'!$B$11&lt;=Z15,1,IFERROR(INDEX('Event Settings'!$B$27:$B$30,MIN('Control Panel'!$B$11-Z15+1,4)),0))))))</f>
        <v/>
      </c>
      <c r="AJ15" s="41">
        <f>IF(AD15&gt;-1,LN(1+AD15),0)</f>
        <v/>
      </c>
      <c r="AK15" s="41">
        <f>IF(AE15&gt;-1,LN(1+AE15),0)</f>
        <v/>
      </c>
      <c r="AL15" s="41">
        <f>IF(AF15&gt;-1,LN(1+AF15),0)</f>
        <v/>
      </c>
      <c r="AM15" s="70">
        <f>SUMIFS('Forecast Engine'!$AK$4:$AK$12,'Forecast Engine'!$A$4:$A$12,G15,'Forecast Engine'!$B$4:$B$12,H15)*AD15+SUMIFS('Forecast Engine'!$AL$4:$AL$12,'Forecast Engine'!$A$4:$A$12,G15,'Forecast Engine'!$B$4:$B$12,H15)*AE15+SUMIFS('Forecast Engine'!$AM$4:$AM$12,'Forecast Engine'!$A$4:$A$12,G15,'Forecast Engine'!$B$4:$B$12,H15)*AF15+AG15+AH15+AI15</f>
        <v/>
      </c>
      <c r="AN15" s="71">
        <f>IFERROR(AM15*10000000/'Event Settings'!$B$4,0)</f>
        <v/>
      </c>
    </row>
    <row r="16">
      <c r="A16" s="63" t="n"/>
      <c r="B16" s="64" t="n"/>
      <c r="C16" s="64" t="n"/>
      <c r="D16" s="63" t="n"/>
      <c r="E16" s="63" t="n"/>
      <c r="F16" s="63" t="n"/>
      <c r="G16" s="63" t="n"/>
      <c r="H16" s="63" t="n"/>
      <c r="I16" s="64" t="n"/>
      <c r="J16" s="63" t="n"/>
      <c r="K16" s="63" t="n"/>
      <c r="L16" s="63" t="n"/>
      <c r="M16" s="63" t="n"/>
      <c r="N16" s="63" t="n"/>
      <c r="O16" s="63" t="n"/>
      <c r="P16" s="65" t="n"/>
      <c r="Q16" s="66" t="n"/>
      <c r="R16" s="66" t="n"/>
      <c r="S16" s="66" t="n"/>
      <c r="T16" s="65" t="n"/>
      <c r="U16" s="63" t="n"/>
      <c r="V16" s="63" t="n"/>
      <c r="W16" s="63" t="n"/>
      <c r="X16" s="41">
        <f>IF((ISNUMBER(SEARCH("NPI",C16))+ISNUMBER(SEARCH("Launch",C16))+ISNUMBER(SEARCH("Relaunch",C16))+ISNUMBER(SEARCH("Listing",C16))+ISNUMBER(SEARCH("Distribution",C16))+ISNUMBER(SEARCH("Store",C16))+ISNUMBER(SEARCH("Warehouse",C16))+ISNUMBER(SEARCH("Distributor",C16))+ISNUMBER(SEARCH("Market",C16))+ISNUMBER(SEARCH("Export",C16))+ISNUMBER(SEARCH("Institutional",C16)))&gt;0,"RAMP","DECAY")</f>
        <v/>
      </c>
      <c r="Y16" s="41">
        <f>IFERROR(MATCH(D16,Calendar!$B$3:$B$38,0),0)</f>
        <v/>
      </c>
      <c r="Z16" s="41">
        <f>IFERROR(MATCH(E16,Calendar!$B$3:$B$38,0),Y16)</f>
        <v/>
      </c>
      <c r="AA16" s="67">
        <f>IFERROR(INDEX('Event Settings'!$B$11:$B$14,MATCH(U16,'Event Settings'!$A$11:$A$14,0)),0.5)</f>
        <v/>
      </c>
      <c r="AB16" s="68">
        <f>IFERROR(INDEX('Chain Event Library'!$C$4:$C$19,MATCH(F16&amp;"|"&amp;C16,'Chain Event Library'!$E$4:$E$19,0)),IFERROR(INDEX('Article Event Library'!$C$4:$C$13,MATCH(H16&amp;"|"&amp;C16,'Article Event Library'!$E$4:$E$13,0)),0))</f>
        <v/>
      </c>
      <c r="AC16" s="68">
        <f>IF(P16&lt;&gt;"",P16,AB16)</f>
        <v/>
      </c>
      <c r="AD16" s="68">
        <f>IF(W16="Approved",1,0)*AC16*T16*AA16*(IFERROR(INDEX('Seasonality Matrix'!$B$4:$M$11,MATCH(H16,'Seasonality Matrix'!$A$4:$A$11,0),MATCH('Control Panel'!$B$12,'Seasonality Matrix'!$B$3:$M$3,0))/IFERROR(INDEX('Seasonality Matrix'!$N$4:$N$11,MATCH(H16,'Seasonality Matrix'!$A$4:$A$11,0)),1),1))*(IF(X16="RAMP",IF('Control Panel'!$B$9-Y16&lt;0,0,INDEX('Event Settings'!$B$18:$B$23,MIN('Control Panel'!$B$9-Y16+1,6))),IF('Control Panel'!$B$9&lt;Y16,0,IF('Control Panel'!$B$9&lt;=Z16,1,IFERROR(INDEX('Event Settings'!$B$27:$B$30,MIN('Control Panel'!$B$9-Z16+1,4)),0)))))</f>
        <v/>
      </c>
      <c r="AE16" s="68">
        <f>IF(W16="Approved",1,0)*AC16*T16*AA16*(IFERROR(INDEX('Seasonality Matrix'!$B$4:$M$11,MATCH(H16,'Seasonality Matrix'!$A$4:$A$11,0),MATCH('Control Panel'!$B$13,'Seasonality Matrix'!$B$3:$M$3,0))/IFERROR(INDEX('Seasonality Matrix'!$N$4:$N$11,MATCH(H16,'Seasonality Matrix'!$A$4:$A$11,0)),1),1))*(IF(X16="RAMP",IF('Control Panel'!$B$10-Y16&lt;0,0,INDEX('Event Settings'!$B$18:$B$23,MIN('Control Panel'!$B$10-Y16+1,6))),IF('Control Panel'!$B$10&lt;Y16,0,IF('Control Panel'!$B$10&lt;=Z16,1,IFERROR(INDEX('Event Settings'!$B$27:$B$30,MIN('Control Panel'!$B$10-Z16+1,4)),0)))))</f>
        <v/>
      </c>
      <c r="AF16" s="68">
        <f>IF(W16="Approved",1,0)*AC16*T16*AA16*(IFERROR(INDEX('Seasonality Matrix'!$B$4:$M$11,MATCH(H16,'Seasonality Matrix'!$A$4:$A$11,0),MATCH('Control Panel'!$B$14,'Seasonality Matrix'!$B$3:$M$3,0))/IFERROR(INDEX('Seasonality Matrix'!$N$4:$N$11,MATCH(H16,'Seasonality Matrix'!$A$4:$A$11,0)),1),1))*(IF(X16="RAMP",IF('Control Panel'!$B$11-Y16&lt;0,0,INDEX('Event Settings'!$B$18:$B$23,MIN('Control Panel'!$B$11-Y16+1,6))),IF('Control Panel'!$B$11&lt;Y16,0,IF('Control Panel'!$B$11&lt;=Z16,1,IFERROR(INDEX('Event Settings'!$B$27:$B$30,MIN('Control Panel'!$B$11-Z16+1,4)),0)))))</f>
        <v/>
      </c>
      <c r="AG16" s="69">
        <f>IF(W16="Approved",1,0)*(Q16*'Event Settings'!$B$4/10000000*(IF('Control Panel'!$B$9=Y16,1,0))+R16*S16*'Event Settings'!$B$4/10000000*(IF(X16="RAMP",IF('Control Panel'!$B$9-Y16&lt;0,0,INDEX('Event Settings'!$B$18:$B$23,MIN('Control Panel'!$B$9-Y16+1,6))),IF('Control Panel'!$B$9&lt;Y16,0,IF('Control Panel'!$B$9&lt;=Z16,1,IFERROR(INDEX('Event Settings'!$B$27:$B$30,MIN('Control Panel'!$B$9-Z16+1,4)),0))))))</f>
        <v/>
      </c>
      <c r="AH16" s="69">
        <f>IF(W16="Approved",1,0)*(Q16*'Event Settings'!$B$4/10000000*(IF('Control Panel'!$B$10=Y16,1,0))+R16*S16*'Event Settings'!$B$4/10000000*(IF(X16="RAMP",IF('Control Panel'!$B$10-Y16&lt;0,0,INDEX('Event Settings'!$B$18:$B$23,MIN('Control Panel'!$B$10-Y16+1,6))),IF('Control Panel'!$B$10&lt;Y16,0,IF('Control Panel'!$B$10&lt;=Z16,1,IFERROR(INDEX('Event Settings'!$B$27:$B$30,MIN('Control Panel'!$B$10-Z16+1,4)),0))))))</f>
        <v/>
      </c>
      <c r="AI16" s="69">
        <f>IF(W16="Approved",1,0)*(Q16*'Event Settings'!$B$4/10000000*(IF('Control Panel'!$B$11=Y16,1,0))+R16*S16*'Event Settings'!$B$4/10000000*(IF(X16="RAMP",IF('Control Panel'!$B$11-Y16&lt;0,0,INDEX('Event Settings'!$B$18:$B$23,MIN('Control Panel'!$B$11-Y16+1,6))),IF('Control Panel'!$B$11&lt;Y16,0,IF('Control Panel'!$B$11&lt;=Z16,1,IFERROR(INDEX('Event Settings'!$B$27:$B$30,MIN('Control Panel'!$B$11-Z16+1,4)),0))))))</f>
        <v/>
      </c>
      <c r="AJ16" s="41">
        <f>IF(AD16&gt;-1,LN(1+AD16),0)</f>
        <v/>
      </c>
      <c r="AK16" s="41">
        <f>IF(AE16&gt;-1,LN(1+AE16),0)</f>
        <v/>
      </c>
      <c r="AL16" s="41">
        <f>IF(AF16&gt;-1,LN(1+AF16),0)</f>
        <v/>
      </c>
      <c r="AM16" s="70">
        <f>SUMIFS('Forecast Engine'!$AK$4:$AK$12,'Forecast Engine'!$A$4:$A$12,G16,'Forecast Engine'!$B$4:$B$12,H16)*AD16+SUMIFS('Forecast Engine'!$AL$4:$AL$12,'Forecast Engine'!$A$4:$A$12,G16,'Forecast Engine'!$B$4:$B$12,H16)*AE16+SUMIFS('Forecast Engine'!$AM$4:$AM$12,'Forecast Engine'!$A$4:$A$12,G16,'Forecast Engine'!$B$4:$B$12,H16)*AF16+AG16+AH16+AI16</f>
        <v/>
      </c>
      <c r="AN16" s="71">
        <f>IFERROR(AM16*10000000/'Event Settings'!$B$4,0)</f>
        <v/>
      </c>
    </row>
    <row r="17">
      <c r="A17" s="63" t="n"/>
      <c r="B17" s="64" t="n"/>
      <c r="C17" s="64" t="n"/>
      <c r="D17" s="63" t="n"/>
      <c r="E17" s="63" t="n"/>
      <c r="F17" s="63" t="n"/>
      <c r="G17" s="63" t="n"/>
      <c r="H17" s="63" t="n"/>
      <c r="I17" s="64" t="n"/>
      <c r="J17" s="63" t="n"/>
      <c r="K17" s="63" t="n"/>
      <c r="L17" s="63" t="n"/>
      <c r="M17" s="63" t="n"/>
      <c r="N17" s="63" t="n"/>
      <c r="O17" s="63" t="n"/>
      <c r="P17" s="65" t="n"/>
      <c r="Q17" s="66" t="n"/>
      <c r="R17" s="66" t="n"/>
      <c r="S17" s="66" t="n"/>
      <c r="T17" s="65" t="n"/>
      <c r="U17" s="63" t="n"/>
      <c r="V17" s="63" t="n"/>
      <c r="W17" s="63" t="n"/>
      <c r="X17" s="41">
        <f>IF((ISNUMBER(SEARCH("NPI",C17))+ISNUMBER(SEARCH("Launch",C17))+ISNUMBER(SEARCH("Relaunch",C17))+ISNUMBER(SEARCH("Listing",C17))+ISNUMBER(SEARCH("Distribution",C17))+ISNUMBER(SEARCH("Store",C17))+ISNUMBER(SEARCH("Warehouse",C17))+ISNUMBER(SEARCH("Distributor",C17))+ISNUMBER(SEARCH("Market",C17))+ISNUMBER(SEARCH("Export",C17))+ISNUMBER(SEARCH("Institutional",C17)))&gt;0,"RAMP","DECAY")</f>
        <v/>
      </c>
      <c r="Y17" s="41">
        <f>IFERROR(MATCH(D17,Calendar!$B$3:$B$38,0),0)</f>
        <v/>
      </c>
      <c r="Z17" s="41">
        <f>IFERROR(MATCH(E17,Calendar!$B$3:$B$38,0),Y17)</f>
        <v/>
      </c>
      <c r="AA17" s="67">
        <f>IFERROR(INDEX('Event Settings'!$B$11:$B$14,MATCH(U17,'Event Settings'!$A$11:$A$14,0)),0.5)</f>
        <v/>
      </c>
      <c r="AB17" s="68">
        <f>IFERROR(INDEX('Chain Event Library'!$C$4:$C$19,MATCH(F17&amp;"|"&amp;C17,'Chain Event Library'!$E$4:$E$19,0)),IFERROR(INDEX('Article Event Library'!$C$4:$C$13,MATCH(H17&amp;"|"&amp;C17,'Article Event Library'!$E$4:$E$13,0)),0))</f>
        <v/>
      </c>
      <c r="AC17" s="68">
        <f>IF(P17&lt;&gt;"",P17,AB17)</f>
        <v/>
      </c>
      <c r="AD17" s="68">
        <f>IF(W17="Approved",1,0)*AC17*T17*AA17*(IFERROR(INDEX('Seasonality Matrix'!$B$4:$M$11,MATCH(H17,'Seasonality Matrix'!$A$4:$A$11,0),MATCH('Control Panel'!$B$12,'Seasonality Matrix'!$B$3:$M$3,0))/IFERROR(INDEX('Seasonality Matrix'!$N$4:$N$11,MATCH(H17,'Seasonality Matrix'!$A$4:$A$11,0)),1),1))*(IF(X17="RAMP",IF('Control Panel'!$B$9-Y17&lt;0,0,INDEX('Event Settings'!$B$18:$B$23,MIN('Control Panel'!$B$9-Y17+1,6))),IF('Control Panel'!$B$9&lt;Y17,0,IF('Control Panel'!$B$9&lt;=Z17,1,IFERROR(INDEX('Event Settings'!$B$27:$B$30,MIN('Control Panel'!$B$9-Z17+1,4)),0)))))</f>
        <v/>
      </c>
      <c r="AE17" s="68">
        <f>IF(W17="Approved",1,0)*AC17*T17*AA17*(IFERROR(INDEX('Seasonality Matrix'!$B$4:$M$11,MATCH(H17,'Seasonality Matrix'!$A$4:$A$11,0),MATCH('Control Panel'!$B$13,'Seasonality Matrix'!$B$3:$M$3,0))/IFERROR(INDEX('Seasonality Matrix'!$N$4:$N$11,MATCH(H17,'Seasonality Matrix'!$A$4:$A$11,0)),1),1))*(IF(X17="RAMP",IF('Control Panel'!$B$10-Y17&lt;0,0,INDEX('Event Settings'!$B$18:$B$23,MIN('Control Panel'!$B$10-Y17+1,6))),IF('Control Panel'!$B$10&lt;Y17,0,IF('Control Panel'!$B$10&lt;=Z17,1,IFERROR(INDEX('Event Settings'!$B$27:$B$30,MIN('Control Panel'!$B$10-Z17+1,4)),0)))))</f>
        <v/>
      </c>
      <c r="AF17" s="68">
        <f>IF(W17="Approved",1,0)*AC17*T17*AA17*(IFERROR(INDEX('Seasonality Matrix'!$B$4:$M$11,MATCH(H17,'Seasonality Matrix'!$A$4:$A$11,0),MATCH('Control Panel'!$B$14,'Seasonality Matrix'!$B$3:$M$3,0))/IFERROR(INDEX('Seasonality Matrix'!$N$4:$N$11,MATCH(H17,'Seasonality Matrix'!$A$4:$A$11,0)),1),1))*(IF(X17="RAMP",IF('Control Panel'!$B$11-Y17&lt;0,0,INDEX('Event Settings'!$B$18:$B$23,MIN('Control Panel'!$B$11-Y17+1,6))),IF('Control Panel'!$B$11&lt;Y17,0,IF('Control Panel'!$B$11&lt;=Z17,1,IFERROR(INDEX('Event Settings'!$B$27:$B$30,MIN('Control Panel'!$B$11-Z17+1,4)),0)))))</f>
        <v/>
      </c>
      <c r="AG17" s="69">
        <f>IF(W17="Approved",1,0)*(Q17*'Event Settings'!$B$4/10000000*(IF('Control Panel'!$B$9=Y17,1,0))+R17*S17*'Event Settings'!$B$4/10000000*(IF(X17="RAMP",IF('Control Panel'!$B$9-Y17&lt;0,0,INDEX('Event Settings'!$B$18:$B$23,MIN('Control Panel'!$B$9-Y17+1,6))),IF('Control Panel'!$B$9&lt;Y17,0,IF('Control Panel'!$B$9&lt;=Z17,1,IFERROR(INDEX('Event Settings'!$B$27:$B$30,MIN('Control Panel'!$B$9-Z17+1,4)),0))))))</f>
        <v/>
      </c>
      <c r="AH17" s="69">
        <f>IF(W17="Approved",1,0)*(Q17*'Event Settings'!$B$4/10000000*(IF('Control Panel'!$B$10=Y17,1,0))+R17*S17*'Event Settings'!$B$4/10000000*(IF(X17="RAMP",IF('Control Panel'!$B$10-Y17&lt;0,0,INDEX('Event Settings'!$B$18:$B$23,MIN('Control Panel'!$B$10-Y17+1,6))),IF('Control Panel'!$B$10&lt;Y17,0,IF('Control Panel'!$B$10&lt;=Z17,1,IFERROR(INDEX('Event Settings'!$B$27:$B$30,MIN('Control Panel'!$B$10-Z17+1,4)),0))))))</f>
        <v/>
      </c>
      <c r="AI17" s="69">
        <f>IF(W17="Approved",1,0)*(Q17*'Event Settings'!$B$4/10000000*(IF('Control Panel'!$B$11=Y17,1,0))+R17*S17*'Event Settings'!$B$4/10000000*(IF(X17="RAMP",IF('Control Panel'!$B$11-Y17&lt;0,0,INDEX('Event Settings'!$B$18:$B$23,MIN('Control Panel'!$B$11-Y17+1,6))),IF('Control Panel'!$B$11&lt;Y17,0,IF('Control Panel'!$B$11&lt;=Z17,1,IFERROR(INDEX('Event Settings'!$B$27:$B$30,MIN('Control Panel'!$B$11-Z17+1,4)),0))))))</f>
        <v/>
      </c>
      <c r="AJ17" s="41">
        <f>IF(AD17&gt;-1,LN(1+AD17),0)</f>
        <v/>
      </c>
      <c r="AK17" s="41">
        <f>IF(AE17&gt;-1,LN(1+AE17),0)</f>
        <v/>
      </c>
      <c r="AL17" s="41">
        <f>IF(AF17&gt;-1,LN(1+AF17),0)</f>
        <v/>
      </c>
      <c r="AM17" s="70">
        <f>SUMIFS('Forecast Engine'!$AK$4:$AK$12,'Forecast Engine'!$A$4:$A$12,G17,'Forecast Engine'!$B$4:$B$12,H17)*AD17+SUMIFS('Forecast Engine'!$AL$4:$AL$12,'Forecast Engine'!$A$4:$A$12,G17,'Forecast Engine'!$B$4:$B$12,H17)*AE17+SUMIFS('Forecast Engine'!$AM$4:$AM$12,'Forecast Engine'!$A$4:$A$12,G17,'Forecast Engine'!$B$4:$B$12,H17)*AF17+AG17+AH17+AI17</f>
        <v/>
      </c>
      <c r="AN17" s="71">
        <f>IFERROR(AM17*10000000/'Event Settings'!$B$4,0)</f>
        <v/>
      </c>
    </row>
    <row r="18">
      <c r="A18" s="63" t="n"/>
      <c r="B18" s="64" t="n"/>
      <c r="C18" s="64" t="n"/>
      <c r="D18" s="63" t="n"/>
      <c r="E18" s="63" t="n"/>
      <c r="F18" s="63" t="n"/>
      <c r="G18" s="63" t="n"/>
      <c r="H18" s="63" t="n"/>
      <c r="I18" s="64" t="n"/>
      <c r="J18" s="63" t="n"/>
      <c r="K18" s="63" t="n"/>
      <c r="L18" s="63" t="n"/>
      <c r="M18" s="63" t="n"/>
      <c r="N18" s="63" t="n"/>
      <c r="O18" s="63" t="n"/>
      <c r="P18" s="65" t="n"/>
      <c r="Q18" s="66" t="n"/>
      <c r="R18" s="66" t="n"/>
      <c r="S18" s="66" t="n"/>
      <c r="T18" s="65" t="n"/>
      <c r="U18" s="63" t="n"/>
      <c r="V18" s="63" t="n"/>
      <c r="W18" s="63" t="n"/>
      <c r="X18" s="41">
        <f>IF((ISNUMBER(SEARCH("NPI",C18))+ISNUMBER(SEARCH("Launch",C18))+ISNUMBER(SEARCH("Relaunch",C18))+ISNUMBER(SEARCH("Listing",C18))+ISNUMBER(SEARCH("Distribution",C18))+ISNUMBER(SEARCH("Store",C18))+ISNUMBER(SEARCH("Warehouse",C18))+ISNUMBER(SEARCH("Distributor",C18))+ISNUMBER(SEARCH("Market",C18))+ISNUMBER(SEARCH("Export",C18))+ISNUMBER(SEARCH("Institutional",C18)))&gt;0,"RAMP","DECAY")</f>
        <v/>
      </c>
      <c r="Y18" s="41">
        <f>IFERROR(MATCH(D18,Calendar!$B$3:$B$38,0),0)</f>
        <v/>
      </c>
      <c r="Z18" s="41">
        <f>IFERROR(MATCH(E18,Calendar!$B$3:$B$38,0),Y18)</f>
        <v/>
      </c>
      <c r="AA18" s="67">
        <f>IFERROR(INDEX('Event Settings'!$B$11:$B$14,MATCH(U18,'Event Settings'!$A$11:$A$14,0)),0.5)</f>
        <v/>
      </c>
      <c r="AB18" s="68">
        <f>IFERROR(INDEX('Chain Event Library'!$C$4:$C$19,MATCH(F18&amp;"|"&amp;C18,'Chain Event Library'!$E$4:$E$19,0)),IFERROR(INDEX('Article Event Library'!$C$4:$C$13,MATCH(H18&amp;"|"&amp;C18,'Article Event Library'!$E$4:$E$13,0)),0))</f>
        <v/>
      </c>
      <c r="AC18" s="68">
        <f>IF(P18&lt;&gt;"",P18,AB18)</f>
        <v/>
      </c>
      <c r="AD18" s="68">
        <f>IF(W18="Approved",1,0)*AC18*T18*AA18*(IFERROR(INDEX('Seasonality Matrix'!$B$4:$M$11,MATCH(H18,'Seasonality Matrix'!$A$4:$A$11,0),MATCH('Control Panel'!$B$12,'Seasonality Matrix'!$B$3:$M$3,0))/IFERROR(INDEX('Seasonality Matrix'!$N$4:$N$11,MATCH(H18,'Seasonality Matrix'!$A$4:$A$11,0)),1),1))*(IF(X18="RAMP",IF('Control Panel'!$B$9-Y18&lt;0,0,INDEX('Event Settings'!$B$18:$B$23,MIN('Control Panel'!$B$9-Y18+1,6))),IF('Control Panel'!$B$9&lt;Y18,0,IF('Control Panel'!$B$9&lt;=Z18,1,IFERROR(INDEX('Event Settings'!$B$27:$B$30,MIN('Control Panel'!$B$9-Z18+1,4)),0)))))</f>
        <v/>
      </c>
      <c r="AE18" s="68">
        <f>IF(W18="Approved",1,0)*AC18*T18*AA18*(IFERROR(INDEX('Seasonality Matrix'!$B$4:$M$11,MATCH(H18,'Seasonality Matrix'!$A$4:$A$11,0),MATCH('Control Panel'!$B$13,'Seasonality Matrix'!$B$3:$M$3,0))/IFERROR(INDEX('Seasonality Matrix'!$N$4:$N$11,MATCH(H18,'Seasonality Matrix'!$A$4:$A$11,0)),1),1))*(IF(X18="RAMP",IF('Control Panel'!$B$10-Y18&lt;0,0,INDEX('Event Settings'!$B$18:$B$23,MIN('Control Panel'!$B$10-Y18+1,6))),IF('Control Panel'!$B$10&lt;Y18,0,IF('Control Panel'!$B$10&lt;=Z18,1,IFERROR(INDEX('Event Settings'!$B$27:$B$30,MIN('Control Panel'!$B$10-Z18+1,4)),0)))))</f>
        <v/>
      </c>
      <c r="AF18" s="68">
        <f>IF(W18="Approved",1,0)*AC18*T18*AA18*(IFERROR(INDEX('Seasonality Matrix'!$B$4:$M$11,MATCH(H18,'Seasonality Matrix'!$A$4:$A$11,0),MATCH('Control Panel'!$B$14,'Seasonality Matrix'!$B$3:$M$3,0))/IFERROR(INDEX('Seasonality Matrix'!$N$4:$N$11,MATCH(H18,'Seasonality Matrix'!$A$4:$A$11,0)),1),1))*(IF(X18="RAMP",IF('Control Panel'!$B$11-Y18&lt;0,0,INDEX('Event Settings'!$B$18:$B$23,MIN('Control Panel'!$B$11-Y18+1,6))),IF('Control Panel'!$B$11&lt;Y18,0,IF('Control Panel'!$B$11&lt;=Z18,1,IFERROR(INDEX('Event Settings'!$B$27:$B$30,MIN('Control Panel'!$B$11-Z18+1,4)),0)))))</f>
        <v/>
      </c>
      <c r="AG18" s="69">
        <f>IF(W18="Approved",1,0)*(Q18*'Event Settings'!$B$4/10000000*(IF('Control Panel'!$B$9=Y18,1,0))+R18*S18*'Event Settings'!$B$4/10000000*(IF(X18="RAMP",IF('Control Panel'!$B$9-Y18&lt;0,0,INDEX('Event Settings'!$B$18:$B$23,MIN('Control Panel'!$B$9-Y18+1,6))),IF('Control Panel'!$B$9&lt;Y18,0,IF('Control Panel'!$B$9&lt;=Z18,1,IFERROR(INDEX('Event Settings'!$B$27:$B$30,MIN('Control Panel'!$B$9-Z18+1,4)),0))))))</f>
        <v/>
      </c>
      <c r="AH18" s="69">
        <f>IF(W18="Approved",1,0)*(Q18*'Event Settings'!$B$4/10000000*(IF('Control Panel'!$B$10=Y18,1,0))+R18*S18*'Event Settings'!$B$4/10000000*(IF(X18="RAMP",IF('Control Panel'!$B$10-Y18&lt;0,0,INDEX('Event Settings'!$B$18:$B$23,MIN('Control Panel'!$B$10-Y18+1,6))),IF('Control Panel'!$B$10&lt;Y18,0,IF('Control Panel'!$B$10&lt;=Z18,1,IFERROR(INDEX('Event Settings'!$B$27:$B$30,MIN('Control Panel'!$B$10-Z18+1,4)),0))))))</f>
        <v/>
      </c>
      <c r="AI18" s="69">
        <f>IF(W18="Approved",1,0)*(Q18*'Event Settings'!$B$4/10000000*(IF('Control Panel'!$B$11=Y18,1,0))+R18*S18*'Event Settings'!$B$4/10000000*(IF(X18="RAMP",IF('Control Panel'!$B$11-Y18&lt;0,0,INDEX('Event Settings'!$B$18:$B$23,MIN('Control Panel'!$B$11-Y18+1,6))),IF('Control Panel'!$B$11&lt;Y18,0,IF('Control Panel'!$B$11&lt;=Z18,1,IFERROR(INDEX('Event Settings'!$B$27:$B$30,MIN('Control Panel'!$B$11-Z18+1,4)),0))))))</f>
        <v/>
      </c>
      <c r="AJ18" s="41">
        <f>IF(AD18&gt;-1,LN(1+AD18),0)</f>
        <v/>
      </c>
      <c r="AK18" s="41">
        <f>IF(AE18&gt;-1,LN(1+AE18),0)</f>
        <v/>
      </c>
      <c r="AL18" s="41">
        <f>IF(AF18&gt;-1,LN(1+AF18),0)</f>
        <v/>
      </c>
      <c r="AM18" s="70">
        <f>SUMIFS('Forecast Engine'!$AK$4:$AK$12,'Forecast Engine'!$A$4:$A$12,G18,'Forecast Engine'!$B$4:$B$12,H18)*AD18+SUMIFS('Forecast Engine'!$AL$4:$AL$12,'Forecast Engine'!$A$4:$A$12,G18,'Forecast Engine'!$B$4:$B$12,H18)*AE18+SUMIFS('Forecast Engine'!$AM$4:$AM$12,'Forecast Engine'!$A$4:$A$12,G18,'Forecast Engine'!$B$4:$B$12,H18)*AF18+AG18+AH18+AI18</f>
        <v/>
      </c>
      <c r="AN18" s="71">
        <f>IFERROR(AM18*10000000/'Event Settings'!$B$4,0)</f>
        <v/>
      </c>
    </row>
    <row r="19">
      <c r="A19" s="63" t="n"/>
      <c r="B19" s="64" t="n"/>
      <c r="C19" s="64" t="n"/>
      <c r="D19" s="63" t="n"/>
      <c r="E19" s="63" t="n"/>
      <c r="F19" s="63" t="n"/>
      <c r="G19" s="63" t="n"/>
      <c r="H19" s="63" t="n"/>
      <c r="I19" s="64" t="n"/>
      <c r="J19" s="63" t="n"/>
      <c r="K19" s="63" t="n"/>
      <c r="L19" s="63" t="n"/>
      <c r="M19" s="63" t="n"/>
      <c r="N19" s="63" t="n"/>
      <c r="O19" s="63" t="n"/>
      <c r="P19" s="65" t="n"/>
      <c r="Q19" s="66" t="n"/>
      <c r="R19" s="66" t="n"/>
      <c r="S19" s="66" t="n"/>
      <c r="T19" s="65" t="n"/>
      <c r="U19" s="63" t="n"/>
      <c r="V19" s="63" t="n"/>
      <c r="W19" s="63" t="n"/>
      <c r="X19" s="41">
        <f>IF((ISNUMBER(SEARCH("NPI",C19))+ISNUMBER(SEARCH("Launch",C19))+ISNUMBER(SEARCH("Relaunch",C19))+ISNUMBER(SEARCH("Listing",C19))+ISNUMBER(SEARCH("Distribution",C19))+ISNUMBER(SEARCH("Store",C19))+ISNUMBER(SEARCH("Warehouse",C19))+ISNUMBER(SEARCH("Distributor",C19))+ISNUMBER(SEARCH("Market",C19))+ISNUMBER(SEARCH("Export",C19))+ISNUMBER(SEARCH("Institutional",C19)))&gt;0,"RAMP","DECAY")</f>
        <v/>
      </c>
      <c r="Y19" s="41">
        <f>IFERROR(MATCH(D19,Calendar!$B$3:$B$38,0),0)</f>
        <v/>
      </c>
      <c r="Z19" s="41">
        <f>IFERROR(MATCH(E19,Calendar!$B$3:$B$38,0),Y19)</f>
        <v/>
      </c>
      <c r="AA19" s="67">
        <f>IFERROR(INDEX('Event Settings'!$B$11:$B$14,MATCH(U19,'Event Settings'!$A$11:$A$14,0)),0.5)</f>
        <v/>
      </c>
      <c r="AB19" s="68">
        <f>IFERROR(INDEX('Chain Event Library'!$C$4:$C$19,MATCH(F19&amp;"|"&amp;C19,'Chain Event Library'!$E$4:$E$19,0)),IFERROR(INDEX('Article Event Library'!$C$4:$C$13,MATCH(H19&amp;"|"&amp;C19,'Article Event Library'!$E$4:$E$13,0)),0))</f>
        <v/>
      </c>
      <c r="AC19" s="68">
        <f>IF(P19&lt;&gt;"",P19,AB19)</f>
        <v/>
      </c>
      <c r="AD19" s="68">
        <f>IF(W19="Approved",1,0)*AC19*T19*AA19*(IFERROR(INDEX('Seasonality Matrix'!$B$4:$M$11,MATCH(H19,'Seasonality Matrix'!$A$4:$A$11,0),MATCH('Control Panel'!$B$12,'Seasonality Matrix'!$B$3:$M$3,0))/IFERROR(INDEX('Seasonality Matrix'!$N$4:$N$11,MATCH(H19,'Seasonality Matrix'!$A$4:$A$11,0)),1),1))*(IF(X19="RAMP",IF('Control Panel'!$B$9-Y19&lt;0,0,INDEX('Event Settings'!$B$18:$B$23,MIN('Control Panel'!$B$9-Y19+1,6))),IF('Control Panel'!$B$9&lt;Y19,0,IF('Control Panel'!$B$9&lt;=Z19,1,IFERROR(INDEX('Event Settings'!$B$27:$B$30,MIN('Control Panel'!$B$9-Z19+1,4)),0)))))</f>
        <v/>
      </c>
      <c r="AE19" s="68">
        <f>IF(W19="Approved",1,0)*AC19*T19*AA19*(IFERROR(INDEX('Seasonality Matrix'!$B$4:$M$11,MATCH(H19,'Seasonality Matrix'!$A$4:$A$11,0),MATCH('Control Panel'!$B$13,'Seasonality Matrix'!$B$3:$M$3,0))/IFERROR(INDEX('Seasonality Matrix'!$N$4:$N$11,MATCH(H19,'Seasonality Matrix'!$A$4:$A$11,0)),1),1))*(IF(X19="RAMP",IF('Control Panel'!$B$10-Y19&lt;0,0,INDEX('Event Settings'!$B$18:$B$23,MIN('Control Panel'!$B$10-Y19+1,6))),IF('Control Panel'!$B$10&lt;Y19,0,IF('Control Panel'!$B$10&lt;=Z19,1,IFERROR(INDEX('Event Settings'!$B$27:$B$30,MIN('Control Panel'!$B$10-Z19+1,4)),0)))))</f>
        <v/>
      </c>
      <c r="AF19" s="68">
        <f>IF(W19="Approved",1,0)*AC19*T19*AA19*(IFERROR(INDEX('Seasonality Matrix'!$B$4:$M$11,MATCH(H19,'Seasonality Matrix'!$A$4:$A$11,0),MATCH('Control Panel'!$B$14,'Seasonality Matrix'!$B$3:$M$3,0))/IFERROR(INDEX('Seasonality Matrix'!$N$4:$N$11,MATCH(H19,'Seasonality Matrix'!$A$4:$A$11,0)),1),1))*(IF(X19="RAMP",IF('Control Panel'!$B$11-Y19&lt;0,0,INDEX('Event Settings'!$B$18:$B$23,MIN('Control Panel'!$B$11-Y19+1,6))),IF('Control Panel'!$B$11&lt;Y19,0,IF('Control Panel'!$B$11&lt;=Z19,1,IFERROR(INDEX('Event Settings'!$B$27:$B$30,MIN('Control Panel'!$B$11-Z19+1,4)),0)))))</f>
        <v/>
      </c>
      <c r="AG19" s="69">
        <f>IF(W19="Approved",1,0)*(Q19*'Event Settings'!$B$4/10000000*(IF('Control Panel'!$B$9=Y19,1,0))+R19*S19*'Event Settings'!$B$4/10000000*(IF(X19="RAMP",IF('Control Panel'!$B$9-Y19&lt;0,0,INDEX('Event Settings'!$B$18:$B$23,MIN('Control Panel'!$B$9-Y19+1,6))),IF('Control Panel'!$B$9&lt;Y19,0,IF('Control Panel'!$B$9&lt;=Z19,1,IFERROR(INDEX('Event Settings'!$B$27:$B$30,MIN('Control Panel'!$B$9-Z19+1,4)),0))))))</f>
        <v/>
      </c>
      <c r="AH19" s="69">
        <f>IF(W19="Approved",1,0)*(Q19*'Event Settings'!$B$4/10000000*(IF('Control Panel'!$B$10=Y19,1,0))+R19*S19*'Event Settings'!$B$4/10000000*(IF(X19="RAMP",IF('Control Panel'!$B$10-Y19&lt;0,0,INDEX('Event Settings'!$B$18:$B$23,MIN('Control Panel'!$B$10-Y19+1,6))),IF('Control Panel'!$B$10&lt;Y19,0,IF('Control Panel'!$B$10&lt;=Z19,1,IFERROR(INDEX('Event Settings'!$B$27:$B$30,MIN('Control Panel'!$B$10-Z19+1,4)),0))))))</f>
        <v/>
      </c>
      <c r="AI19" s="69">
        <f>IF(W19="Approved",1,0)*(Q19*'Event Settings'!$B$4/10000000*(IF('Control Panel'!$B$11=Y19,1,0))+R19*S19*'Event Settings'!$B$4/10000000*(IF(X19="RAMP",IF('Control Panel'!$B$11-Y19&lt;0,0,INDEX('Event Settings'!$B$18:$B$23,MIN('Control Panel'!$B$11-Y19+1,6))),IF('Control Panel'!$B$11&lt;Y19,0,IF('Control Panel'!$B$11&lt;=Z19,1,IFERROR(INDEX('Event Settings'!$B$27:$B$30,MIN('Control Panel'!$B$11-Z19+1,4)),0))))))</f>
        <v/>
      </c>
      <c r="AJ19" s="41">
        <f>IF(AD19&gt;-1,LN(1+AD19),0)</f>
        <v/>
      </c>
      <c r="AK19" s="41">
        <f>IF(AE19&gt;-1,LN(1+AE19),0)</f>
        <v/>
      </c>
      <c r="AL19" s="41">
        <f>IF(AF19&gt;-1,LN(1+AF19),0)</f>
        <v/>
      </c>
      <c r="AM19" s="70">
        <f>SUMIFS('Forecast Engine'!$AK$4:$AK$12,'Forecast Engine'!$A$4:$A$12,G19,'Forecast Engine'!$B$4:$B$12,H19)*AD19+SUMIFS('Forecast Engine'!$AL$4:$AL$12,'Forecast Engine'!$A$4:$A$12,G19,'Forecast Engine'!$B$4:$B$12,H19)*AE19+SUMIFS('Forecast Engine'!$AM$4:$AM$12,'Forecast Engine'!$A$4:$A$12,G19,'Forecast Engine'!$B$4:$B$12,H19)*AF19+AG19+AH19+AI19</f>
        <v/>
      </c>
      <c r="AN19" s="71">
        <f>IFERROR(AM19*10000000/'Event Settings'!$B$4,0)</f>
        <v/>
      </c>
    </row>
    <row r="20">
      <c r="A20" s="63" t="n"/>
      <c r="B20" s="64" t="n"/>
      <c r="C20" s="64" t="n"/>
      <c r="D20" s="63" t="n"/>
      <c r="E20" s="63" t="n"/>
      <c r="F20" s="63" t="n"/>
      <c r="G20" s="63" t="n"/>
      <c r="H20" s="63" t="n"/>
      <c r="I20" s="64" t="n"/>
      <c r="J20" s="63" t="n"/>
      <c r="K20" s="63" t="n"/>
      <c r="L20" s="63" t="n"/>
      <c r="M20" s="63" t="n"/>
      <c r="N20" s="63" t="n"/>
      <c r="O20" s="63" t="n"/>
      <c r="P20" s="65" t="n"/>
      <c r="Q20" s="66" t="n"/>
      <c r="R20" s="66" t="n"/>
      <c r="S20" s="66" t="n"/>
      <c r="T20" s="65" t="n"/>
      <c r="U20" s="63" t="n"/>
      <c r="V20" s="63" t="n"/>
      <c r="W20" s="63" t="n"/>
      <c r="X20" s="41">
        <f>IF((ISNUMBER(SEARCH("NPI",C20))+ISNUMBER(SEARCH("Launch",C20))+ISNUMBER(SEARCH("Relaunch",C20))+ISNUMBER(SEARCH("Listing",C20))+ISNUMBER(SEARCH("Distribution",C20))+ISNUMBER(SEARCH("Store",C20))+ISNUMBER(SEARCH("Warehouse",C20))+ISNUMBER(SEARCH("Distributor",C20))+ISNUMBER(SEARCH("Market",C20))+ISNUMBER(SEARCH("Export",C20))+ISNUMBER(SEARCH("Institutional",C20)))&gt;0,"RAMP","DECAY")</f>
        <v/>
      </c>
      <c r="Y20" s="41">
        <f>IFERROR(MATCH(D20,Calendar!$B$3:$B$38,0),0)</f>
        <v/>
      </c>
      <c r="Z20" s="41">
        <f>IFERROR(MATCH(E20,Calendar!$B$3:$B$38,0),Y20)</f>
        <v/>
      </c>
      <c r="AA20" s="67">
        <f>IFERROR(INDEX('Event Settings'!$B$11:$B$14,MATCH(U20,'Event Settings'!$A$11:$A$14,0)),0.5)</f>
        <v/>
      </c>
      <c r="AB20" s="68">
        <f>IFERROR(INDEX('Chain Event Library'!$C$4:$C$19,MATCH(F20&amp;"|"&amp;C20,'Chain Event Library'!$E$4:$E$19,0)),IFERROR(INDEX('Article Event Library'!$C$4:$C$13,MATCH(H20&amp;"|"&amp;C20,'Article Event Library'!$E$4:$E$13,0)),0))</f>
        <v/>
      </c>
      <c r="AC20" s="68">
        <f>IF(P20&lt;&gt;"",P20,AB20)</f>
        <v/>
      </c>
      <c r="AD20" s="68">
        <f>IF(W20="Approved",1,0)*AC20*T20*AA20*(IFERROR(INDEX('Seasonality Matrix'!$B$4:$M$11,MATCH(H20,'Seasonality Matrix'!$A$4:$A$11,0),MATCH('Control Panel'!$B$12,'Seasonality Matrix'!$B$3:$M$3,0))/IFERROR(INDEX('Seasonality Matrix'!$N$4:$N$11,MATCH(H20,'Seasonality Matrix'!$A$4:$A$11,0)),1),1))*(IF(X20="RAMP",IF('Control Panel'!$B$9-Y20&lt;0,0,INDEX('Event Settings'!$B$18:$B$23,MIN('Control Panel'!$B$9-Y20+1,6))),IF('Control Panel'!$B$9&lt;Y20,0,IF('Control Panel'!$B$9&lt;=Z20,1,IFERROR(INDEX('Event Settings'!$B$27:$B$30,MIN('Control Panel'!$B$9-Z20+1,4)),0)))))</f>
        <v/>
      </c>
      <c r="AE20" s="68">
        <f>IF(W20="Approved",1,0)*AC20*T20*AA20*(IFERROR(INDEX('Seasonality Matrix'!$B$4:$M$11,MATCH(H20,'Seasonality Matrix'!$A$4:$A$11,0),MATCH('Control Panel'!$B$13,'Seasonality Matrix'!$B$3:$M$3,0))/IFERROR(INDEX('Seasonality Matrix'!$N$4:$N$11,MATCH(H20,'Seasonality Matrix'!$A$4:$A$11,0)),1),1))*(IF(X20="RAMP",IF('Control Panel'!$B$10-Y20&lt;0,0,INDEX('Event Settings'!$B$18:$B$23,MIN('Control Panel'!$B$10-Y20+1,6))),IF('Control Panel'!$B$10&lt;Y20,0,IF('Control Panel'!$B$10&lt;=Z20,1,IFERROR(INDEX('Event Settings'!$B$27:$B$30,MIN('Control Panel'!$B$10-Z20+1,4)),0)))))</f>
        <v/>
      </c>
      <c r="AF20" s="68">
        <f>IF(W20="Approved",1,0)*AC20*T20*AA20*(IFERROR(INDEX('Seasonality Matrix'!$B$4:$M$11,MATCH(H20,'Seasonality Matrix'!$A$4:$A$11,0),MATCH('Control Panel'!$B$14,'Seasonality Matrix'!$B$3:$M$3,0))/IFERROR(INDEX('Seasonality Matrix'!$N$4:$N$11,MATCH(H20,'Seasonality Matrix'!$A$4:$A$11,0)),1),1))*(IF(X20="RAMP",IF('Control Panel'!$B$11-Y20&lt;0,0,INDEX('Event Settings'!$B$18:$B$23,MIN('Control Panel'!$B$11-Y20+1,6))),IF('Control Panel'!$B$11&lt;Y20,0,IF('Control Panel'!$B$11&lt;=Z20,1,IFERROR(INDEX('Event Settings'!$B$27:$B$30,MIN('Control Panel'!$B$11-Z20+1,4)),0)))))</f>
        <v/>
      </c>
      <c r="AG20" s="69">
        <f>IF(W20="Approved",1,0)*(Q20*'Event Settings'!$B$4/10000000*(IF('Control Panel'!$B$9=Y20,1,0))+R20*S20*'Event Settings'!$B$4/10000000*(IF(X20="RAMP",IF('Control Panel'!$B$9-Y20&lt;0,0,INDEX('Event Settings'!$B$18:$B$23,MIN('Control Panel'!$B$9-Y20+1,6))),IF('Control Panel'!$B$9&lt;Y20,0,IF('Control Panel'!$B$9&lt;=Z20,1,IFERROR(INDEX('Event Settings'!$B$27:$B$30,MIN('Control Panel'!$B$9-Z20+1,4)),0))))))</f>
        <v/>
      </c>
      <c r="AH20" s="69">
        <f>IF(W20="Approved",1,0)*(Q20*'Event Settings'!$B$4/10000000*(IF('Control Panel'!$B$10=Y20,1,0))+R20*S20*'Event Settings'!$B$4/10000000*(IF(X20="RAMP",IF('Control Panel'!$B$10-Y20&lt;0,0,INDEX('Event Settings'!$B$18:$B$23,MIN('Control Panel'!$B$10-Y20+1,6))),IF('Control Panel'!$B$10&lt;Y20,0,IF('Control Panel'!$B$10&lt;=Z20,1,IFERROR(INDEX('Event Settings'!$B$27:$B$30,MIN('Control Panel'!$B$10-Z20+1,4)),0))))))</f>
        <v/>
      </c>
      <c r="AI20" s="69">
        <f>IF(W20="Approved",1,0)*(Q20*'Event Settings'!$B$4/10000000*(IF('Control Panel'!$B$11=Y20,1,0))+R20*S20*'Event Settings'!$B$4/10000000*(IF(X20="RAMP",IF('Control Panel'!$B$11-Y20&lt;0,0,INDEX('Event Settings'!$B$18:$B$23,MIN('Control Panel'!$B$11-Y20+1,6))),IF('Control Panel'!$B$11&lt;Y20,0,IF('Control Panel'!$B$11&lt;=Z20,1,IFERROR(INDEX('Event Settings'!$B$27:$B$30,MIN('Control Panel'!$B$11-Z20+1,4)),0))))))</f>
        <v/>
      </c>
      <c r="AJ20" s="41">
        <f>IF(AD20&gt;-1,LN(1+AD20),0)</f>
        <v/>
      </c>
      <c r="AK20" s="41">
        <f>IF(AE20&gt;-1,LN(1+AE20),0)</f>
        <v/>
      </c>
      <c r="AL20" s="41">
        <f>IF(AF20&gt;-1,LN(1+AF20),0)</f>
        <v/>
      </c>
      <c r="AM20" s="70">
        <f>SUMIFS('Forecast Engine'!$AK$4:$AK$12,'Forecast Engine'!$A$4:$A$12,G20,'Forecast Engine'!$B$4:$B$12,H20)*AD20+SUMIFS('Forecast Engine'!$AL$4:$AL$12,'Forecast Engine'!$A$4:$A$12,G20,'Forecast Engine'!$B$4:$B$12,H20)*AE20+SUMIFS('Forecast Engine'!$AM$4:$AM$12,'Forecast Engine'!$A$4:$A$12,G20,'Forecast Engine'!$B$4:$B$12,H20)*AF20+AG20+AH20+AI20</f>
        <v/>
      </c>
      <c r="AN20" s="71">
        <f>IFERROR(AM20*10000000/'Event Settings'!$B$4,0)</f>
        <v/>
      </c>
    </row>
    <row r="21">
      <c r="A21" s="63" t="n"/>
      <c r="B21" s="64" t="n"/>
      <c r="C21" s="64" t="n"/>
      <c r="D21" s="63" t="n"/>
      <c r="E21" s="63" t="n"/>
      <c r="F21" s="63" t="n"/>
      <c r="G21" s="63" t="n"/>
      <c r="H21" s="63" t="n"/>
      <c r="I21" s="64" t="n"/>
      <c r="J21" s="63" t="n"/>
      <c r="K21" s="63" t="n"/>
      <c r="L21" s="63" t="n"/>
      <c r="M21" s="63" t="n"/>
      <c r="N21" s="63" t="n"/>
      <c r="O21" s="63" t="n"/>
      <c r="P21" s="65" t="n"/>
      <c r="Q21" s="66" t="n"/>
      <c r="R21" s="66" t="n"/>
      <c r="S21" s="66" t="n"/>
      <c r="T21" s="65" t="n"/>
      <c r="U21" s="63" t="n"/>
      <c r="V21" s="63" t="n"/>
      <c r="W21" s="63" t="n"/>
      <c r="X21" s="41">
        <f>IF((ISNUMBER(SEARCH("NPI",C21))+ISNUMBER(SEARCH("Launch",C21))+ISNUMBER(SEARCH("Relaunch",C21))+ISNUMBER(SEARCH("Listing",C21))+ISNUMBER(SEARCH("Distribution",C21))+ISNUMBER(SEARCH("Store",C21))+ISNUMBER(SEARCH("Warehouse",C21))+ISNUMBER(SEARCH("Distributor",C21))+ISNUMBER(SEARCH("Market",C21))+ISNUMBER(SEARCH("Export",C21))+ISNUMBER(SEARCH("Institutional",C21)))&gt;0,"RAMP","DECAY")</f>
        <v/>
      </c>
      <c r="Y21" s="41">
        <f>IFERROR(MATCH(D21,Calendar!$B$3:$B$38,0),0)</f>
        <v/>
      </c>
      <c r="Z21" s="41">
        <f>IFERROR(MATCH(E21,Calendar!$B$3:$B$38,0),Y21)</f>
        <v/>
      </c>
      <c r="AA21" s="67">
        <f>IFERROR(INDEX('Event Settings'!$B$11:$B$14,MATCH(U21,'Event Settings'!$A$11:$A$14,0)),0.5)</f>
        <v/>
      </c>
      <c r="AB21" s="68">
        <f>IFERROR(INDEX('Chain Event Library'!$C$4:$C$19,MATCH(F21&amp;"|"&amp;C21,'Chain Event Library'!$E$4:$E$19,0)),IFERROR(INDEX('Article Event Library'!$C$4:$C$13,MATCH(H21&amp;"|"&amp;C21,'Article Event Library'!$E$4:$E$13,0)),0))</f>
        <v/>
      </c>
      <c r="AC21" s="68">
        <f>IF(P21&lt;&gt;"",P21,AB21)</f>
        <v/>
      </c>
      <c r="AD21" s="68">
        <f>IF(W21="Approved",1,0)*AC21*T21*AA21*(IFERROR(INDEX('Seasonality Matrix'!$B$4:$M$11,MATCH(H21,'Seasonality Matrix'!$A$4:$A$11,0),MATCH('Control Panel'!$B$12,'Seasonality Matrix'!$B$3:$M$3,0))/IFERROR(INDEX('Seasonality Matrix'!$N$4:$N$11,MATCH(H21,'Seasonality Matrix'!$A$4:$A$11,0)),1),1))*(IF(X21="RAMP",IF('Control Panel'!$B$9-Y21&lt;0,0,INDEX('Event Settings'!$B$18:$B$23,MIN('Control Panel'!$B$9-Y21+1,6))),IF('Control Panel'!$B$9&lt;Y21,0,IF('Control Panel'!$B$9&lt;=Z21,1,IFERROR(INDEX('Event Settings'!$B$27:$B$30,MIN('Control Panel'!$B$9-Z21+1,4)),0)))))</f>
        <v/>
      </c>
      <c r="AE21" s="68">
        <f>IF(W21="Approved",1,0)*AC21*T21*AA21*(IFERROR(INDEX('Seasonality Matrix'!$B$4:$M$11,MATCH(H21,'Seasonality Matrix'!$A$4:$A$11,0),MATCH('Control Panel'!$B$13,'Seasonality Matrix'!$B$3:$M$3,0))/IFERROR(INDEX('Seasonality Matrix'!$N$4:$N$11,MATCH(H21,'Seasonality Matrix'!$A$4:$A$11,0)),1),1))*(IF(X21="RAMP",IF('Control Panel'!$B$10-Y21&lt;0,0,INDEX('Event Settings'!$B$18:$B$23,MIN('Control Panel'!$B$10-Y21+1,6))),IF('Control Panel'!$B$10&lt;Y21,0,IF('Control Panel'!$B$10&lt;=Z21,1,IFERROR(INDEX('Event Settings'!$B$27:$B$30,MIN('Control Panel'!$B$10-Z21+1,4)),0)))))</f>
        <v/>
      </c>
      <c r="AF21" s="68">
        <f>IF(W21="Approved",1,0)*AC21*T21*AA21*(IFERROR(INDEX('Seasonality Matrix'!$B$4:$M$11,MATCH(H21,'Seasonality Matrix'!$A$4:$A$11,0),MATCH('Control Panel'!$B$14,'Seasonality Matrix'!$B$3:$M$3,0))/IFERROR(INDEX('Seasonality Matrix'!$N$4:$N$11,MATCH(H21,'Seasonality Matrix'!$A$4:$A$11,0)),1),1))*(IF(X21="RAMP",IF('Control Panel'!$B$11-Y21&lt;0,0,INDEX('Event Settings'!$B$18:$B$23,MIN('Control Panel'!$B$11-Y21+1,6))),IF('Control Panel'!$B$11&lt;Y21,0,IF('Control Panel'!$B$11&lt;=Z21,1,IFERROR(INDEX('Event Settings'!$B$27:$B$30,MIN('Control Panel'!$B$11-Z21+1,4)),0)))))</f>
        <v/>
      </c>
      <c r="AG21" s="69">
        <f>IF(W21="Approved",1,0)*(Q21*'Event Settings'!$B$4/10000000*(IF('Control Panel'!$B$9=Y21,1,0))+R21*S21*'Event Settings'!$B$4/10000000*(IF(X21="RAMP",IF('Control Panel'!$B$9-Y21&lt;0,0,INDEX('Event Settings'!$B$18:$B$23,MIN('Control Panel'!$B$9-Y21+1,6))),IF('Control Panel'!$B$9&lt;Y21,0,IF('Control Panel'!$B$9&lt;=Z21,1,IFERROR(INDEX('Event Settings'!$B$27:$B$30,MIN('Control Panel'!$B$9-Z21+1,4)),0))))))</f>
        <v/>
      </c>
      <c r="AH21" s="69">
        <f>IF(W21="Approved",1,0)*(Q21*'Event Settings'!$B$4/10000000*(IF('Control Panel'!$B$10=Y21,1,0))+R21*S21*'Event Settings'!$B$4/10000000*(IF(X21="RAMP",IF('Control Panel'!$B$10-Y21&lt;0,0,INDEX('Event Settings'!$B$18:$B$23,MIN('Control Panel'!$B$10-Y21+1,6))),IF('Control Panel'!$B$10&lt;Y21,0,IF('Control Panel'!$B$10&lt;=Z21,1,IFERROR(INDEX('Event Settings'!$B$27:$B$30,MIN('Control Panel'!$B$10-Z21+1,4)),0))))))</f>
        <v/>
      </c>
      <c r="AI21" s="69">
        <f>IF(W21="Approved",1,0)*(Q21*'Event Settings'!$B$4/10000000*(IF('Control Panel'!$B$11=Y21,1,0))+R21*S21*'Event Settings'!$B$4/10000000*(IF(X21="RAMP",IF('Control Panel'!$B$11-Y21&lt;0,0,INDEX('Event Settings'!$B$18:$B$23,MIN('Control Panel'!$B$11-Y21+1,6))),IF('Control Panel'!$B$11&lt;Y21,0,IF('Control Panel'!$B$11&lt;=Z21,1,IFERROR(INDEX('Event Settings'!$B$27:$B$30,MIN('Control Panel'!$B$11-Z21+1,4)),0))))))</f>
        <v/>
      </c>
      <c r="AJ21" s="41">
        <f>IF(AD21&gt;-1,LN(1+AD21),0)</f>
        <v/>
      </c>
      <c r="AK21" s="41">
        <f>IF(AE21&gt;-1,LN(1+AE21),0)</f>
        <v/>
      </c>
      <c r="AL21" s="41">
        <f>IF(AF21&gt;-1,LN(1+AF21),0)</f>
        <v/>
      </c>
      <c r="AM21" s="70">
        <f>SUMIFS('Forecast Engine'!$AK$4:$AK$12,'Forecast Engine'!$A$4:$A$12,G21,'Forecast Engine'!$B$4:$B$12,H21)*AD21+SUMIFS('Forecast Engine'!$AL$4:$AL$12,'Forecast Engine'!$A$4:$A$12,G21,'Forecast Engine'!$B$4:$B$12,H21)*AE21+SUMIFS('Forecast Engine'!$AM$4:$AM$12,'Forecast Engine'!$A$4:$A$12,G21,'Forecast Engine'!$B$4:$B$12,H21)*AF21+AG21+AH21+AI21</f>
        <v/>
      </c>
      <c r="AN21" s="71">
        <f>IFERROR(AM21*10000000/'Event Settings'!$B$4,0)</f>
        <v/>
      </c>
    </row>
    <row r="22">
      <c r="A22" s="63" t="n"/>
      <c r="B22" s="64" t="n"/>
      <c r="C22" s="64" t="n"/>
      <c r="D22" s="63" t="n"/>
      <c r="E22" s="63" t="n"/>
      <c r="F22" s="63" t="n"/>
      <c r="G22" s="63" t="n"/>
      <c r="H22" s="63" t="n"/>
      <c r="I22" s="64" t="n"/>
      <c r="J22" s="63" t="n"/>
      <c r="K22" s="63" t="n"/>
      <c r="L22" s="63" t="n"/>
      <c r="M22" s="63" t="n"/>
      <c r="N22" s="63" t="n"/>
      <c r="O22" s="63" t="n"/>
      <c r="P22" s="65" t="n"/>
      <c r="Q22" s="66" t="n"/>
      <c r="R22" s="66" t="n"/>
      <c r="S22" s="66" t="n"/>
      <c r="T22" s="65" t="n"/>
      <c r="U22" s="63" t="n"/>
      <c r="V22" s="63" t="n"/>
      <c r="W22" s="63" t="n"/>
      <c r="X22" s="41">
        <f>IF((ISNUMBER(SEARCH("NPI",C22))+ISNUMBER(SEARCH("Launch",C22))+ISNUMBER(SEARCH("Relaunch",C22))+ISNUMBER(SEARCH("Listing",C22))+ISNUMBER(SEARCH("Distribution",C22))+ISNUMBER(SEARCH("Store",C22))+ISNUMBER(SEARCH("Warehouse",C22))+ISNUMBER(SEARCH("Distributor",C22))+ISNUMBER(SEARCH("Market",C22))+ISNUMBER(SEARCH("Export",C22))+ISNUMBER(SEARCH("Institutional",C22)))&gt;0,"RAMP","DECAY")</f>
        <v/>
      </c>
      <c r="Y22" s="41">
        <f>IFERROR(MATCH(D22,Calendar!$B$3:$B$38,0),0)</f>
        <v/>
      </c>
      <c r="Z22" s="41">
        <f>IFERROR(MATCH(E22,Calendar!$B$3:$B$38,0),Y22)</f>
        <v/>
      </c>
      <c r="AA22" s="67">
        <f>IFERROR(INDEX('Event Settings'!$B$11:$B$14,MATCH(U22,'Event Settings'!$A$11:$A$14,0)),0.5)</f>
        <v/>
      </c>
      <c r="AB22" s="68">
        <f>IFERROR(INDEX('Chain Event Library'!$C$4:$C$19,MATCH(F22&amp;"|"&amp;C22,'Chain Event Library'!$E$4:$E$19,0)),IFERROR(INDEX('Article Event Library'!$C$4:$C$13,MATCH(H22&amp;"|"&amp;C22,'Article Event Library'!$E$4:$E$13,0)),0))</f>
        <v/>
      </c>
      <c r="AC22" s="68">
        <f>IF(P22&lt;&gt;"",P22,AB22)</f>
        <v/>
      </c>
      <c r="AD22" s="68">
        <f>IF(W22="Approved",1,0)*AC22*T22*AA22*(IFERROR(INDEX('Seasonality Matrix'!$B$4:$M$11,MATCH(H22,'Seasonality Matrix'!$A$4:$A$11,0),MATCH('Control Panel'!$B$12,'Seasonality Matrix'!$B$3:$M$3,0))/IFERROR(INDEX('Seasonality Matrix'!$N$4:$N$11,MATCH(H22,'Seasonality Matrix'!$A$4:$A$11,0)),1),1))*(IF(X22="RAMP",IF('Control Panel'!$B$9-Y22&lt;0,0,INDEX('Event Settings'!$B$18:$B$23,MIN('Control Panel'!$B$9-Y22+1,6))),IF('Control Panel'!$B$9&lt;Y22,0,IF('Control Panel'!$B$9&lt;=Z22,1,IFERROR(INDEX('Event Settings'!$B$27:$B$30,MIN('Control Panel'!$B$9-Z22+1,4)),0)))))</f>
        <v/>
      </c>
      <c r="AE22" s="68">
        <f>IF(W22="Approved",1,0)*AC22*T22*AA22*(IFERROR(INDEX('Seasonality Matrix'!$B$4:$M$11,MATCH(H22,'Seasonality Matrix'!$A$4:$A$11,0),MATCH('Control Panel'!$B$13,'Seasonality Matrix'!$B$3:$M$3,0))/IFERROR(INDEX('Seasonality Matrix'!$N$4:$N$11,MATCH(H22,'Seasonality Matrix'!$A$4:$A$11,0)),1),1))*(IF(X22="RAMP",IF('Control Panel'!$B$10-Y22&lt;0,0,INDEX('Event Settings'!$B$18:$B$23,MIN('Control Panel'!$B$10-Y22+1,6))),IF('Control Panel'!$B$10&lt;Y22,0,IF('Control Panel'!$B$10&lt;=Z22,1,IFERROR(INDEX('Event Settings'!$B$27:$B$30,MIN('Control Panel'!$B$10-Z22+1,4)),0)))))</f>
        <v/>
      </c>
      <c r="AF22" s="68">
        <f>IF(W22="Approved",1,0)*AC22*T22*AA22*(IFERROR(INDEX('Seasonality Matrix'!$B$4:$M$11,MATCH(H22,'Seasonality Matrix'!$A$4:$A$11,0),MATCH('Control Panel'!$B$14,'Seasonality Matrix'!$B$3:$M$3,0))/IFERROR(INDEX('Seasonality Matrix'!$N$4:$N$11,MATCH(H22,'Seasonality Matrix'!$A$4:$A$11,0)),1),1))*(IF(X22="RAMP",IF('Control Panel'!$B$11-Y22&lt;0,0,INDEX('Event Settings'!$B$18:$B$23,MIN('Control Panel'!$B$11-Y22+1,6))),IF('Control Panel'!$B$11&lt;Y22,0,IF('Control Panel'!$B$11&lt;=Z22,1,IFERROR(INDEX('Event Settings'!$B$27:$B$30,MIN('Control Panel'!$B$11-Z22+1,4)),0)))))</f>
        <v/>
      </c>
      <c r="AG22" s="69">
        <f>IF(W22="Approved",1,0)*(Q22*'Event Settings'!$B$4/10000000*(IF('Control Panel'!$B$9=Y22,1,0))+R22*S22*'Event Settings'!$B$4/10000000*(IF(X22="RAMP",IF('Control Panel'!$B$9-Y22&lt;0,0,INDEX('Event Settings'!$B$18:$B$23,MIN('Control Panel'!$B$9-Y22+1,6))),IF('Control Panel'!$B$9&lt;Y22,0,IF('Control Panel'!$B$9&lt;=Z22,1,IFERROR(INDEX('Event Settings'!$B$27:$B$30,MIN('Control Panel'!$B$9-Z22+1,4)),0))))))</f>
        <v/>
      </c>
      <c r="AH22" s="69">
        <f>IF(W22="Approved",1,0)*(Q22*'Event Settings'!$B$4/10000000*(IF('Control Panel'!$B$10=Y22,1,0))+R22*S22*'Event Settings'!$B$4/10000000*(IF(X22="RAMP",IF('Control Panel'!$B$10-Y22&lt;0,0,INDEX('Event Settings'!$B$18:$B$23,MIN('Control Panel'!$B$10-Y22+1,6))),IF('Control Panel'!$B$10&lt;Y22,0,IF('Control Panel'!$B$10&lt;=Z22,1,IFERROR(INDEX('Event Settings'!$B$27:$B$30,MIN('Control Panel'!$B$10-Z22+1,4)),0))))))</f>
        <v/>
      </c>
      <c r="AI22" s="69">
        <f>IF(W22="Approved",1,0)*(Q22*'Event Settings'!$B$4/10000000*(IF('Control Panel'!$B$11=Y22,1,0))+R22*S22*'Event Settings'!$B$4/10000000*(IF(X22="RAMP",IF('Control Panel'!$B$11-Y22&lt;0,0,INDEX('Event Settings'!$B$18:$B$23,MIN('Control Panel'!$B$11-Y22+1,6))),IF('Control Panel'!$B$11&lt;Y22,0,IF('Control Panel'!$B$11&lt;=Z22,1,IFERROR(INDEX('Event Settings'!$B$27:$B$30,MIN('Control Panel'!$B$11-Z22+1,4)),0))))))</f>
        <v/>
      </c>
      <c r="AJ22" s="41">
        <f>IF(AD22&gt;-1,LN(1+AD22),0)</f>
        <v/>
      </c>
      <c r="AK22" s="41">
        <f>IF(AE22&gt;-1,LN(1+AE22),0)</f>
        <v/>
      </c>
      <c r="AL22" s="41">
        <f>IF(AF22&gt;-1,LN(1+AF22),0)</f>
        <v/>
      </c>
      <c r="AM22" s="70">
        <f>SUMIFS('Forecast Engine'!$AK$4:$AK$12,'Forecast Engine'!$A$4:$A$12,G22,'Forecast Engine'!$B$4:$B$12,H22)*AD22+SUMIFS('Forecast Engine'!$AL$4:$AL$12,'Forecast Engine'!$A$4:$A$12,G22,'Forecast Engine'!$B$4:$B$12,H22)*AE22+SUMIFS('Forecast Engine'!$AM$4:$AM$12,'Forecast Engine'!$A$4:$A$12,G22,'Forecast Engine'!$B$4:$B$12,H22)*AF22+AG22+AH22+AI22</f>
        <v/>
      </c>
      <c r="AN22" s="71">
        <f>IFERROR(AM22*10000000/'Event Settings'!$B$4,0)</f>
        <v/>
      </c>
    </row>
    <row r="23">
      <c r="A23" s="63" t="n"/>
      <c r="B23" s="64" t="n"/>
      <c r="C23" s="64" t="n"/>
      <c r="D23" s="63" t="n"/>
      <c r="E23" s="63" t="n"/>
      <c r="F23" s="63" t="n"/>
      <c r="G23" s="63" t="n"/>
      <c r="H23" s="63" t="n"/>
      <c r="I23" s="64" t="n"/>
      <c r="J23" s="63" t="n"/>
      <c r="K23" s="63" t="n"/>
      <c r="L23" s="63" t="n"/>
      <c r="M23" s="63" t="n"/>
      <c r="N23" s="63" t="n"/>
      <c r="O23" s="63" t="n"/>
      <c r="P23" s="65" t="n"/>
      <c r="Q23" s="66" t="n"/>
      <c r="R23" s="66" t="n"/>
      <c r="S23" s="66" t="n"/>
      <c r="T23" s="65" t="n"/>
      <c r="U23" s="63" t="n"/>
      <c r="V23" s="63" t="n"/>
      <c r="W23" s="63" t="n"/>
      <c r="X23" s="41">
        <f>IF((ISNUMBER(SEARCH("NPI",C23))+ISNUMBER(SEARCH("Launch",C23))+ISNUMBER(SEARCH("Relaunch",C23))+ISNUMBER(SEARCH("Listing",C23))+ISNUMBER(SEARCH("Distribution",C23))+ISNUMBER(SEARCH("Store",C23))+ISNUMBER(SEARCH("Warehouse",C23))+ISNUMBER(SEARCH("Distributor",C23))+ISNUMBER(SEARCH("Market",C23))+ISNUMBER(SEARCH("Export",C23))+ISNUMBER(SEARCH("Institutional",C23)))&gt;0,"RAMP","DECAY")</f>
        <v/>
      </c>
      <c r="Y23" s="41">
        <f>IFERROR(MATCH(D23,Calendar!$B$3:$B$38,0),0)</f>
        <v/>
      </c>
      <c r="Z23" s="41">
        <f>IFERROR(MATCH(E23,Calendar!$B$3:$B$38,0),Y23)</f>
        <v/>
      </c>
      <c r="AA23" s="67">
        <f>IFERROR(INDEX('Event Settings'!$B$11:$B$14,MATCH(U23,'Event Settings'!$A$11:$A$14,0)),0.5)</f>
        <v/>
      </c>
      <c r="AB23" s="68">
        <f>IFERROR(INDEX('Chain Event Library'!$C$4:$C$19,MATCH(F23&amp;"|"&amp;C23,'Chain Event Library'!$E$4:$E$19,0)),IFERROR(INDEX('Article Event Library'!$C$4:$C$13,MATCH(H23&amp;"|"&amp;C23,'Article Event Library'!$E$4:$E$13,0)),0))</f>
        <v/>
      </c>
      <c r="AC23" s="68">
        <f>IF(P23&lt;&gt;"",P23,AB23)</f>
        <v/>
      </c>
      <c r="AD23" s="68">
        <f>IF(W23="Approved",1,0)*AC23*T23*AA23*(IFERROR(INDEX('Seasonality Matrix'!$B$4:$M$11,MATCH(H23,'Seasonality Matrix'!$A$4:$A$11,0),MATCH('Control Panel'!$B$12,'Seasonality Matrix'!$B$3:$M$3,0))/IFERROR(INDEX('Seasonality Matrix'!$N$4:$N$11,MATCH(H23,'Seasonality Matrix'!$A$4:$A$11,0)),1),1))*(IF(X23="RAMP",IF('Control Panel'!$B$9-Y23&lt;0,0,INDEX('Event Settings'!$B$18:$B$23,MIN('Control Panel'!$B$9-Y23+1,6))),IF('Control Panel'!$B$9&lt;Y23,0,IF('Control Panel'!$B$9&lt;=Z23,1,IFERROR(INDEX('Event Settings'!$B$27:$B$30,MIN('Control Panel'!$B$9-Z23+1,4)),0)))))</f>
        <v/>
      </c>
      <c r="AE23" s="68">
        <f>IF(W23="Approved",1,0)*AC23*T23*AA23*(IFERROR(INDEX('Seasonality Matrix'!$B$4:$M$11,MATCH(H23,'Seasonality Matrix'!$A$4:$A$11,0),MATCH('Control Panel'!$B$13,'Seasonality Matrix'!$B$3:$M$3,0))/IFERROR(INDEX('Seasonality Matrix'!$N$4:$N$11,MATCH(H23,'Seasonality Matrix'!$A$4:$A$11,0)),1),1))*(IF(X23="RAMP",IF('Control Panel'!$B$10-Y23&lt;0,0,INDEX('Event Settings'!$B$18:$B$23,MIN('Control Panel'!$B$10-Y23+1,6))),IF('Control Panel'!$B$10&lt;Y23,0,IF('Control Panel'!$B$10&lt;=Z23,1,IFERROR(INDEX('Event Settings'!$B$27:$B$30,MIN('Control Panel'!$B$10-Z23+1,4)),0)))))</f>
        <v/>
      </c>
      <c r="AF23" s="68">
        <f>IF(W23="Approved",1,0)*AC23*T23*AA23*(IFERROR(INDEX('Seasonality Matrix'!$B$4:$M$11,MATCH(H23,'Seasonality Matrix'!$A$4:$A$11,0),MATCH('Control Panel'!$B$14,'Seasonality Matrix'!$B$3:$M$3,0))/IFERROR(INDEX('Seasonality Matrix'!$N$4:$N$11,MATCH(H23,'Seasonality Matrix'!$A$4:$A$11,0)),1),1))*(IF(X23="RAMP",IF('Control Panel'!$B$11-Y23&lt;0,0,INDEX('Event Settings'!$B$18:$B$23,MIN('Control Panel'!$B$11-Y23+1,6))),IF('Control Panel'!$B$11&lt;Y23,0,IF('Control Panel'!$B$11&lt;=Z23,1,IFERROR(INDEX('Event Settings'!$B$27:$B$30,MIN('Control Panel'!$B$11-Z23+1,4)),0)))))</f>
        <v/>
      </c>
      <c r="AG23" s="69">
        <f>IF(W23="Approved",1,0)*(Q23*'Event Settings'!$B$4/10000000*(IF('Control Panel'!$B$9=Y23,1,0))+R23*S23*'Event Settings'!$B$4/10000000*(IF(X23="RAMP",IF('Control Panel'!$B$9-Y23&lt;0,0,INDEX('Event Settings'!$B$18:$B$23,MIN('Control Panel'!$B$9-Y23+1,6))),IF('Control Panel'!$B$9&lt;Y23,0,IF('Control Panel'!$B$9&lt;=Z23,1,IFERROR(INDEX('Event Settings'!$B$27:$B$30,MIN('Control Panel'!$B$9-Z23+1,4)),0))))))</f>
        <v/>
      </c>
      <c r="AH23" s="69">
        <f>IF(W23="Approved",1,0)*(Q23*'Event Settings'!$B$4/10000000*(IF('Control Panel'!$B$10=Y23,1,0))+R23*S23*'Event Settings'!$B$4/10000000*(IF(X23="RAMP",IF('Control Panel'!$B$10-Y23&lt;0,0,INDEX('Event Settings'!$B$18:$B$23,MIN('Control Panel'!$B$10-Y23+1,6))),IF('Control Panel'!$B$10&lt;Y23,0,IF('Control Panel'!$B$10&lt;=Z23,1,IFERROR(INDEX('Event Settings'!$B$27:$B$30,MIN('Control Panel'!$B$10-Z23+1,4)),0))))))</f>
        <v/>
      </c>
      <c r="AI23" s="69">
        <f>IF(W23="Approved",1,0)*(Q23*'Event Settings'!$B$4/10000000*(IF('Control Panel'!$B$11=Y23,1,0))+R23*S23*'Event Settings'!$B$4/10000000*(IF(X23="RAMP",IF('Control Panel'!$B$11-Y23&lt;0,0,INDEX('Event Settings'!$B$18:$B$23,MIN('Control Panel'!$B$11-Y23+1,6))),IF('Control Panel'!$B$11&lt;Y23,0,IF('Control Panel'!$B$11&lt;=Z23,1,IFERROR(INDEX('Event Settings'!$B$27:$B$30,MIN('Control Panel'!$B$11-Z23+1,4)),0))))))</f>
        <v/>
      </c>
      <c r="AJ23" s="41">
        <f>IF(AD23&gt;-1,LN(1+AD23),0)</f>
        <v/>
      </c>
      <c r="AK23" s="41">
        <f>IF(AE23&gt;-1,LN(1+AE23),0)</f>
        <v/>
      </c>
      <c r="AL23" s="41">
        <f>IF(AF23&gt;-1,LN(1+AF23),0)</f>
        <v/>
      </c>
      <c r="AM23" s="70">
        <f>SUMIFS('Forecast Engine'!$AK$4:$AK$12,'Forecast Engine'!$A$4:$A$12,G23,'Forecast Engine'!$B$4:$B$12,H23)*AD23+SUMIFS('Forecast Engine'!$AL$4:$AL$12,'Forecast Engine'!$A$4:$A$12,G23,'Forecast Engine'!$B$4:$B$12,H23)*AE23+SUMIFS('Forecast Engine'!$AM$4:$AM$12,'Forecast Engine'!$A$4:$A$12,G23,'Forecast Engine'!$B$4:$B$12,H23)*AF23+AG23+AH23+AI23</f>
        <v/>
      </c>
      <c r="AN23" s="71">
        <f>IFERROR(AM23*10000000/'Event Settings'!$B$4,0)</f>
        <v/>
      </c>
    </row>
    <row r="24">
      <c r="A24" s="63" t="n"/>
      <c r="B24" s="64" t="n"/>
      <c r="C24" s="64" t="n"/>
      <c r="D24" s="63" t="n"/>
      <c r="E24" s="63" t="n"/>
      <c r="F24" s="63" t="n"/>
      <c r="G24" s="63" t="n"/>
      <c r="H24" s="63" t="n"/>
      <c r="I24" s="64" t="n"/>
      <c r="J24" s="63" t="n"/>
      <c r="K24" s="63" t="n"/>
      <c r="L24" s="63" t="n"/>
      <c r="M24" s="63" t="n"/>
      <c r="N24" s="63" t="n"/>
      <c r="O24" s="63" t="n"/>
      <c r="P24" s="65" t="n"/>
      <c r="Q24" s="66" t="n"/>
      <c r="R24" s="66" t="n"/>
      <c r="S24" s="66" t="n"/>
      <c r="T24" s="65" t="n"/>
      <c r="U24" s="63" t="n"/>
      <c r="V24" s="63" t="n"/>
      <c r="W24" s="63" t="n"/>
      <c r="X24" s="41">
        <f>IF((ISNUMBER(SEARCH("NPI",C24))+ISNUMBER(SEARCH("Launch",C24))+ISNUMBER(SEARCH("Relaunch",C24))+ISNUMBER(SEARCH("Listing",C24))+ISNUMBER(SEARCH("Distribution",C24))+ISNUMBER(SEARCH("Store",C24))+ISNUMBER(SEARCH("Warehouse",C24))+ISNUMBER(SEARCH("Distributor",C24))+ISNUMBER(SEARCH("Market",C24))+ISNUMBER(SEARCH("Export",C24))+ISNUMBER(SEARCH("Institutional",C24)))&gt;0,"RAMP","DECAY")</f>
        <v/>
      </c>
      <c r="Y24" s="41">
        <f>IFERROR(MATCH(D24,Calendar!$B$3:$B$38,0),0)</f>
        <v/>
      </c>
      <c r="Z24" s="41">
        <f>IFERROR(MATCH(E24,Calendar!$B$3:$B$38,0),Y24)</f>
        <v/>
      </c>
      <c r="AA24" s="67">
        <f>IFERROR(INDEX('Event Settings'!$B$11:$B$14,MATCH(U24,'Event Settings'!$A$11:$A$14,0)),0.5)</f>
        <v/>
      </c>
      <c r="AB24" s="68">
        <f>IFERROR(INDEX('Chain Event Library'!$C$4:$C$19,MATCH(F24&amp;"|"&amp;C24,'Chain Event Library'!$E$4:$E$19,0)),IFERROR(INDEX('Article Event Library'!$C$4:$C$13,MATCH(H24&amp;"|"&amp;C24,'Article Event Library'!$E$4:$E$13,0)),0))</f>
        <v/>
      </c>
      <c r="AC24" s="68">
        <f>IF(P24&lt;&gt;"",P24,AB24)</f>
        <v/>
      </c>
      <c r="AD24" s="68">
        <f>IF(W24="Approved",1,0)*AC24*T24*AA24*(IFERROR(INDEX('Seasonality Matrix'!$B$4:$M$11,MATCH(H24,'Seasonality Matrix'!$A$4:$A$11,0),MATCH('Control Panel'!$B$12,'Seasonality Matrix'!$B$3:$M$3,0))/IFERROR(INDEX('Seasonality Matrix'!$N$4:$N$11,MATCH(H24,'Seasonality Matrix'!$A$4:$A$11,0)),1),1))*(IF(X24="RAMP",IF('Control Panel'!$B$9-Y24&lt;0,0,INDEX('Event Settings'!$B$18:$B$23,MIN('Control Panel'!$B$9-Y24+1,6))),IF('Control Panel'!$B$9&lt;Y24,0,IF('Control Panel'!$B$9&lt;=Z24,1,IFERROR(INDEX('Event Settings'!$B$27:$B$30,MIN('Control Panel'!$B$9-Z24+1,4)),0)))))</f>
        <v/>
      </c>
      <c r="AE24" s="68">
        <f>IF(W24="Approved",1,0)*AC24*T24*AA24*(IFERROR(INDEX('Seasonality Matrix'!$B$4:$M$11,MATCH(H24,'Seasonality Matrix'!$A$4:$A$11,0),MATCH('Control Panel'!$B$13,'Seasonality Matrix'!$B$3:$M$3,0))/IFERROR(INDEX('Seasonality Matrix'!$N$4:$N$11,MATCH(H24,'Seasonality Matrix'!$A$4:$A$11,0)),1),1))*(IF(X24="RAMP",IF('Control Panel'!$B$10-Y24&lt;0,0,INDEX('Event Settings'!$B$18:$B$23,MIN('Control Panel'!$B$10-Y24+1,6))),IF('Control Panel'!$B$10&lt;Y24,0,IF('Control Panel'!$B$10&lt;=Z24,1,IFERROR(INDEX('Event Settings'!$B$27:$B$30,MIN('Control Panel'!$B$10-Z24+1,4)),0)))))</f>
        <v/>
      </c>
      <c r="AF24" s="68">
        <f>IF(W24="Approved",1,0)*AC24*T24*AA24*(IFERROR(INDEX('Seasonality Matrix'!$B$4:$M$11,MATCH(H24,'Seasonality Matrix'!$A$4:$A$11,0),MATCH('Control Panel'!$B$14,'Seasonality Matrix'!$B$3:$M$3,0))/IFERROR(INDEX('Seasonality Matrix'!$N$4:$N$11,MATCH(H24,'Seasonality Matrix'!$A$4:$A$11,0)),1),1))*(IF(X24="RAMP",IF('Control Panel'!$B$11-Y24&lt;0,0,INDEX('Event Settings'!$B$18:$B$23,MIN('Control Panel'!$B$11-Y24+1,6))),IF('Control Panel'!$B$11&lt;Y24,0,IF('Control Panel'!$B$11&lt;=Z24,1,IFERROR(INDEX('Event Settings'!$B$27:$B$30,MIN('Control Panel'!$B$11-Z24+1,4)),0)))))</f>
        <v/>
      </c>
      <c r="AG24" s="69">
        <f>IF(W24="Approved",1,0)*(Q24*'Event Settings'!$B$4/10000000*(IF('Control Panel'!$B$9=Y24,1,0))+R24*S24*'Event Settings'!$B$4/10000000*(IF(X24="RAMP",IF('Control Panel'!$B$9-Y24&lt;0,0,INDEX('Event Settings'!$B$18:$B$23,MIN('Control Panel'!$B$9-Y24+1,6))),IF('Control Panel'!$B$9&lt;Y24,0,IF('Control Panel'!$B$9&lt;=Z24,1,IFERROR(INDEX('Event Settings'!$B$27:$B$30,MIN('Control Panel'!$B$9-Z24+1,4)),0))))))</f>
        <v/>
      </c>
      <c r="AH24" s="69">
        <f>IF(W24="Approved",1,0)*(Q24*'Event Settings'!$B$4/10000000*(IF('Control Panel'!$B$10=Y24,1,0))+R24*S24*'Event Settings'!$B$4/10000000*(IF(X24="RAMP",IF('Control Panel'!$B$10-Y24&lt;0,0,INDEX('Event Settings'!$B$18:$B$23,MIN('Control Panel'!$B$10-Y24+1,6))),IF('Control Panel'!$B$10&lt;Y24,0,IF('Control Panel'!$B$10&lt;=Z24,1,IFERROR(INDEX('Event Settings'!$B$27:$B$30,MIN('Control Panel'!$B$10-Z24+1,4)),0))))))</f>
        <v/>
      </c>
      <c r="AI24" s="69">
        <f>IF(W24="Approved",1,0)*(Q24*'Event Settings'!$B$4/10000000*(IF('Control Panel'!$B$11=Y24,1,0))+R24*S24*'Event Settings'!$B$4/10000000*(IF(X24="RAMP",IF('Control Panel'!$B$11-Y24&lt;0,0,INDEX('Event Settings'!$B$18:$B$23,MIN('Control Panel'!$B$11-Y24+1,6))),IF('Control Panel'!$B$11&lt;Y24,0,IF('Control Panel'!$B$11&lt;=Z24,1,IFERROR(INDEX('Event Settings'!$B$27:$B$30,MIN('Control Panel'!$B$11-Z24+1,4)),0))))))</f>
        <v/>
      </c>
      <c r="AJ24" s="41">
        <f>IF(AD24&gt;-1,LN(1+AD24),0)</f>
        <v/>
      </c>
      <c r="AK24" s="41">
        <f>IF(AE24&gt;-1,LN(1+AE24),0)</f>
        <v/>
      </c>
      <c r="AL24" s="41">
        <f>IF(AF24&gt;-1,LN(1+AF24),0)</f>
        <v/>
      </c>
      <c r="AM24" s="70">
        <f>SUMIFS('Forecast Engine'!$AK$4:$AK$12,'Forecast Engine'!$A$4:$A$12,G24,'Forecast Engine'!$B$4:$B$12,H24)*AD24+SUMIFS('Forecast Engine'!$AL$4:$AL$12,'Forecast Engine'!$A$4:$A$12,G24,'Forecast Engine'!$B$4:$B$12,H24)*AE24+SUMIFS('Forecast Engine'!$AM$4:$AM$12,'Forecast Engine'!$A$4:$A$12,G24,'Forecast Engine'!$B$4:$B$12,H24)*AF24+AG24+AH24+AI24</f>
        <v/>
      </c>
      <c r="AN24" s="71">
        <f>IFERROR(AM24*10000000/'Event Settings'!$B$4,0)</f>
        <v/>
      </c>
    </row>
  </sheetData>
  <mergeCells count="2">
    <mergeCell ref="A2:AN2"/>
    <mergeCell ref="A1:AN1"/>
  </mergeCells>
  <dataValidations count="4">
    <dataValidation sqref="C4:C24" showDropDown="0" showInputMessage="0" showErrorMessage="0" allowBlank="1" type="list">
      <formula1>'Event Settings'!$G$3:$G$31</formula1>
    </dataValidation>
    <dataValidation sqref="O4:O24" showDropDown="0" showInputMessage="0" showErrorMessage="0" allowBlank="1" type="list">
      <formula1>"Percentage,Fixed Qty,Distribution Gain,Combined"</formula1>
    </dataValidation>
    <dataValidation sqref="U4:U24" showDropDown="0" showInputMessage="0" showErrorMessage="0" allowBlank="1" type="list">
      <formula1>"Critical,High,Medium,Low"</formula1>
    </dataValidation>
    <dataValidation sqref="W4:W24" showDropDown="0" showInputMessage="0" showErrorMessage="0" allowBlank="1" type="list">
      <formula1>"Draft,Submitted,Approved,Rejected"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 ht="26" customHeight="1">
      <c r="A1" s="1" t="inlineStr">
        <is>
          <t>EVENT IMPACT ENGINE  ·  Baseline + Events = Final (shown separately, ₹ Cr)</t>
        </is>
      </c>
    </row>
    <row r="2">
      <c r="A2" s="12" t="inlineStr">
        <is>
          <t>Per Brand×Category: overlapping % events are combined MULTIPLICATIVELY (1−Π(1+uᵢ)), not summed; absolute events (fixed qty, distribution gain) are added. Only Approved events flow in. Baseline is the engine's Base scenario and is never modified.</t>
        </is>
      </c>
    </row>
    <row r="3" ht="28" customHeight="1">
      <c r="A3" s="5" t="inlineStr">
        <is>
          <t>Brand</t>
        </is>
      </c>
      <c r="B3" s="5" t="inlineStr">
        <is>
          <t>Category</t>
        </is>
      </c>
      <c r="C3" s="5" t="inlineStr">
        <is>
          <t>Base M</t>
        </is>
      </c>
      <c r="D3" s="5" t="inlineStr">
        <is>
          <t>Uplift% M</t>
        </is>
      </c>
      <c r="E3" s="5" t="inlineStr">
        <is>
          <t>Event M</t>
        </is>
      </c>
      <c r="F3" s="5" t="inlineStr">
        <is>
          <t>Final M</t>
        </is>
      </c>
      <c r="G3" s="5" t="inlineStr">
        <is>
          <t>Base M+1</t>
        </is>
      </c>
      <c r="H3" s="5" t="inlineStr">
        <is>
          <t>Uplift% M+1</t>
        </is>
      </c>
      <c r="I3" s="5" t="inlineStr">
        <is>
          <t>Event M+1</t>
        </is>
      </c>
      <c r="J3" s="5" t="inlineStr">
        <is>
          <t>Final M+1</t>
        </is>
      </c>
      <c r="K3" s="5" t="inlineStr">
        <is>
          <t>Base M+2</t>
        </is>
      </c>
      <c r="L3" s="5" t="inlineStr">
        <is>
          <t>Uplift% M+2</t>
        </is>
      </c>
      <c r="M3" s="5" t="inlineStr">
        <is>
          <t>Event M+2</t>
        </is>
      </c>
      <c r="N3" s="5" t="inlineStr">
        <is>
          <t>Final M+2</t>
        </is>
      </c>
      <c r="O3" s="5" t="inlineStr">
        <is>
          <t>Final 3M</t>
        </is>
      </c>
    </row>
    <row r="4">
      <c r="A4" s="13" t="inlineStr">
        <is>
          <t>Mamaearth</t>
        </is>
      </c>
      <c r="B4" s="13" t="inlineStr">
        <is>
          <t>Face</t>
        </is>
      </c>
      <c r="C4" s="14">
        <f>SUMIFS('Forecast Engine'!$AK$4:$AK$12,'Forecast Engine'!$A$4:$A$12,$A4,'Forecast Engine'!$B$4:$B$12,$B4)</f>
        <v/>
      </c>
      <c r="D4" s="16">
        <f>EXP(SUMIFS(Business_Event_Master!$AJ$4:$AJ$24,Business_Event_Master!$G$4:$G$24,$A4,Business_Event_Master!$H$4:$H$24,$B4))-1</f>
        <v/>
      </c>
      <c r="E4" s="14">
        <f>C4*D4+SUMIFS(Business_Event_Master!$AG$4:$AG$24,Business_Event_Master!$G$4:$G$24,$A4,Business_Event_Master!$H$4:$H$24,$B4)</f>
        <v/>
      </c>
      <c r="F4" s="72">
        <f>C4+E4</f>
        <v/>
      </c>
      <c r="G4" s="14">
        <f>SUMIFS('Forecast Engine'!$AL$4:$AL$12,'Forecast Engine'!$A$4:$A$12,$A4,'Forecast Engine'!$B$4:$B$12,$B4)</f>
        <v/>
      </c>
      <c r="H4" s="16">
        <f>EXP(SUMIFS(Business_Event_Master!$AK$4:$AK$24,Business_Event_Master!$G$4:$G$24,$A4,Business_Event_Master!$H$4:$H$24,$B4))-1</f>
        <v/>
      </c>
      <c r="I4" s="14">
        <f>G4*H4+SUMIFS(Business_Event_Master!$AH$4:$AH$24,Business_Event_Master!$G$4:$G$24,$A4,Business_Event_Master!$H$4:$H$24,$B4)</f>
        <v/>
      </c>
      <c r="J4" s="72">
        <f>G4+I4</f>
        <v/>
      </c>
      <c r="K4" s="14">
        <f>SUMIFS('Forecast Engine'!$AM$4:$AM$12,'Forecast Engine'!$A$4:$A$12,$A4,'Forecast Engine'!$B$4:$B$12,$B4)</f>
        <v/>
      </c>
      <c r="L4" s="16">
        <f>EXP(SUMIFS(Business_Event_Master!$AL$4:$AL$24,Business_Event_Master!$G$4:$G$24,$A4,Business_Event_Master!$H$4:$H$24,$B4))-1</f>
        <v/>
      </c>
      <c r="M4" s="14">
        <f>K4*L4+SUMIFS(Business_Event_Master!$AI$4:$AI$24,Business_Event_Master!$G$4:$G$24,$A4,Business_Event_Master!$H$4:$H$24,$B4)</f>
        <v/>
      </c>
      <c r="N4" s="72">
        <f>K4+M4</f>
        <v/>
      </c>
      <c r="O4" s="18">
        <f>F4+J4+N4</f>
        <v/>
      </c>
    </row>
    <row r="5">
      <c r="A5" s="13" t="inlineStr">
        <is>
          <t>Mamaearth</t>
        </is>
      </c>
      <c r="B5" s="13" t="inlineStr">
        <is>
          <t>Hair</t>
        </is>
      </c>
      <c r="C5" s="14">
        <f>SUMIFS('Forecast Engine'!$AK$4:$AK$12,'Forecast Engine'!$A$4:$A$12,$A5,'Forecast Engine'!$B$4:$B$12,$B5)</f>
        <v/>
      </c>
      <c r="D5" s="16">
        <f>EXP(SUMIFS(Business_Event_Master!$AJ$4:$AJ$24,Business_Event_Master!$G$4:$G$24,$A5,Business_Event_Master!$H$4:$H$24,$B5))-1</f>
        <v/>
      </c>
      <c r="E5" s="14">
        <f>C5*D5+SUMIFS(Business_Event_Master!$AG$4:$AG$24,Business_Event_Master!$G$4:$G$24,$A5,Business_Event_Master!$H$4:$H$24,$B5)</f>
        <v/>
      </c>
      <c r="F5" s="72">
        <f>C5+E5</f>
        <v/>
      </c>
      <c r="G5" s="14">
        <f>SUMIFS('Forecast Engine'!$AL$4:$AL$12,'Forecast Engine'!$A$4:$A$12,$A5,'Forecast Engine'!$B$4:$B$12,$B5)</f>
        <v/>
      </c>
      <c r="H5" s="16">
        <f>EXP(SUMIFS(Business_Event_Master!$AK$4:$AK$24,Business_Event_Master!$G$4:$G$24,$A5,Business_Event_Master!$H$4:$H$24,$B5))-1</f>
        <v/>
      </c>
      <c r="I5" s="14">
        <f>G5*H5+SUMIFS(Business_Event_Master!$AH$4:$AH$24,Business_Event_Master!$G$4:$G$24,$A5,Business_Event_Master!$H$4:$H$24,$B5)</f>
        <v/>
      </c>
      <c r="J5" s="72">
        <f>G5+I5</f>
        <v/>
      </c>
      <c r="K5" s="14">
        <f>SUMIFS('Forecast Engine'!$AM$4:$AM$12,'Forecast Engine'!$A$4:$A$12,$A5,'Forecast Engine'!$B$4:$B$12,$B5)</f>
        <v/>
      </c>
      <c r="L5" s="16">
        <f>EXP(SUMIFS(Business_Event_Master!$AL$4:$AL$24,Business_Event_Master!$G$4:$G$24,$A5,Business_Event_Master!$H$4:$H$24,$B5))-1</f>
        <v/>
      </c>
      <c r="M5" s="14">
        <f>K5*L5+SUMIFS(Business_Event_Master!$AI$4:$AI$24,Business_Event_Master!$G$4:$G$24,$A5,Business_Event_Master!$H$4:$H$24,$B5)</f>
        <v/>
      </c>
      <c r="N5" s="72">
        <f>K5+M5</f>
        <v/>
      </c>
      <c r="O5" s="18">
        <f>F5+J5+N5</f>
        <v/>
      </c>
    </row>
    <row r="6">
      <c r="A6" s="13" t="inlineStr">
        <is>
          <t>The Derma Co.</t>
        </is>
      </c>
      <c r="B6" s="13" t="inlineStr">
        <is>
          <t>Face</t>
        </is>
      </c>
      <c r="C6" s="14">
        <f>SUMIFS('Forecast Engine'!$AK$4:$AK$12,'Forecast Engine'!$A$4:$A$12,$A6,'Forecast Engine'!$B$4:$B$12,$B6)</f>
        <v/>
      </c>
      <c r="D6" s="16">
        <f>EXP(SUMIFS(Business_Event_Master!$AJ$4:$AJ$24,Business_Event_Master!$G$4:$G$24,$A6,Business_Event_Master!$H$4:$H$24,$B6))-1</f>
        <v/>
      </c>
      <c r="E6" s="14">
        <f>C6*D6+SUMIFS(Business_Event_Master!$AG$4:$AG$24,Business_Event_Master!$G$4:$G$24,$A6,Business_Event_Master!$H$4:$H$24,$B6)</f>
        <v/>
      </c>
      <c r="F6" s="72">
        <f>C6+E6</f>
        <v/>
      </c>
      <c r="G6" s="14">
        <f>SUMIFS('Forecast Engine'!$AL$4:$AL$12,'Forecast Engine'!$A$4:$A$12,$A6,'Forecast Engine'!$B$4:$B$12,$B6)</f>
        <v/>
      </c>
      <c r="H6" s="16">
        <f>EXP(SUMIFS(Business_Event_Master!$AK$4:$AK$24,Business_Event_Master!$G$4:$G$24,$A6,Business_Event_Master!$H$4:$H$24,$B6))-1</f>
        <v/>
      </c>
      <c r="I6" s="14">
        <f>G6*H6+SUMIFS(Business_Event_Master!$AH$4:$AH$24,Business_Event_Master!$G$4:$G$24,$A6,Business_Event_Master!$H$4:$H$24,$B6)</f>
        <v/>
      </c>
      <c r="J6" s="72">
        <f>G6+I6</f>
        <v/>
      </c>
      <c r="K6" s="14">
        <f>SUMIFS('Forecast Engine'!$AM$4:$AM$12,'Forecast Engine'!$A$4:$A$12,$A6,'Forecast Engine'!$B$4:$B$12,$B6)</f>
        <v/>
      </c>
      <c r="L6" s="16">
        <f>EXP(SUMIFS(Business_Event_Master!$AL$4:$AL$24,Business_Event_Master!$G$4:$G$24,$A6,Business_Event_Master!$H$4:$H$24,$B6))-1</f>
        <v/>
      </c>
      <c r="M6" s="14">
        <f>K6*L6+SUMIFS(Business_Event_Master!$AI$4:$AI$24,Business_Event_Master!$G$4:$G$24,$A6,Business_Event_Master!$H$4:$H$24,$B6)</f>
        <v/>
      </c>
      <c r="N6" s="72">
        <f>K6+M6</f>
        <v/>
      </c>
      <c r="O6" s="18">
        <f>F6+J6+N6</f>
        <v/>
      </c>
    </row>
    <row r="7">
      <c r="A7" s="13" t="inlineStr">
        <is>
          <t>Mamaearth</t>
        </is>
      </c>
      <c r="B7" s="13" t="inlineStr">
        <is>
          <t>Body</t>
        </is>
      </c>
      <c r="C7" s="14">
        <f>SUMIFS('Forecast Engine'!$AK$4:$AK$12,'Forecast Engine'!$A$4:$A$12,$A7,'Forecast Engine'!$B$4:$B$12,$B7)</f>
        <v/>
      </c>
      <c r="D7" s="16">
        <f>EXP(SUMIFS(Business_Event_Master!$AJ$4:$AJ$24,Business_Event_Master!$G$4:$G$24,$A7,Business_Event_Master!$H$4:$H$24,$B7))-1</f>
        <v/>
      </c>
      <c r="E7" s="14">
        <f>C7*D7+SUMIFS(Business_Event_Master!$AG$4:$AG$24,Business_Event_Master!$G$4:$G$24,$A7,Business_Event_Master!$H$4:$H$24,$B7)</f>
        <v/>
      </c>
      <c r="F7" s="72">
        <f>C7+E7</f>
        <v/>
      </c>
      <c r="G7" s="14">
        <f>SUMIFS('Forecast Engine'!$AL$4:$AL$12,'Forecast Engine'!$A$4:$A$12,$A7,'Forecast Engine'!$B$4:$B$12,$B7)</f>
        <v/>
      </c>
      <c r="H7" s="16">
        <f>EXP(SUMIFS(Business_Event_Master!$AK$4:$AK$24,Business_Event_Master!$G$4:$G$24,$A7,Business_Event_Master!$H$4:$H$24,$B7))-1</f>
        <v/>
      </c>
      <c r="I7" s="14">
        <f>G7*H7+SUMIFS(Business_Event_Master!$AH$4:$AH$24,Business_Event_Master!$G$4:$G$24,$A7,Business_Event_Master!$H$4:$H$24,$B7)</f>
        <v/>
      </c>
      <c r="J7" s="72">
        <f>G7+I7</f>
        <v/>
      </c>
      <c r="K7" s="14">
        <f>SUMIFS('Forecast Engine'!$AM$4:$AM$12,'Forecast Engine'!$A$4:$A$12,$A7,'Forecast Engine'!$B$4:$B$12,$B7)</f>
        <v/>
      </c>
      <c r="L7" s="16">
        <f>EXP(SUMIFS(Business_Event_Master!$AL$4:$AL$24,Business_Event_Master!$G$4:$G$24,$A7,Business_Event_Master!$H$4:$H$24,$B7))-1</f>
        <v/>
      </c>
      <c r="M7" s="14">
        <f>K7*L7+SUMIFS(Business_Event_Master!$AI$4:$AI$24,Business_Event_Master!$G$4:$G$24,$A7,Business_Event_Master!$H$4:$H$24,$B7)</f>
        <v/>
      </c>
      <c r="N7" s="72">
        <f>K7+M7</f>
        <v/>
      </c>
      <c r="O7" s="18">
        <f>F7+J7+N7</f>
        <v/>
      </c>
    </row>
    <row r="8">
      <c r="A8" s="13" t="inlineStr">
        <is>
          <t>Mamaearth</t>
        </is>
      </c>
      <c r="B8" s="13" t="inlineStr">
        <is>
          <t>Baby</t>
        </is>
      </c>
      <c r="C8" s="14">
        <f>SUMIFS('Forecast Engine'!$AK$4:$AK$12,'Forecast Engine'!$A$4:$A$12,$A8,'Forecast Engine'!$B$4:$B$12,$B8)</f>
        <v/>
      </c>
      <c r="D8" s="16">
        <f>EXP(SUMIFS(Business_Event_Master!$AJ$4:$AJ$24,Business_Event_Master!$G$4:$G$24,$A8,Business_Event_Master!$H$4:$H$24,$B8))-1</f>
        <v/>
      </c>
      <c r="E8" s="14">
        <f>C8*D8+SUMIFS(Business_Event_Master!$AG$4:$AG$24,Business_Event_Master!$G$4:$G$24,$A8,Business_Event_Master!$H$4:$H$24,$B8)</f>
        <v/>
      </c>
      <c r="F8" s="72">
        <f>C8+E8</f>
        <v/>
      </c>
      <c r="G8" s="14">
        <f>SUMIFS('Forecast Engine'!$AL$4:$AL$12,'Forecast Engine'!$A$4:$A$12,$A8,'Forecast Engine'!$B$4:$B$12,$B8)</f>
        <v/>
      </c>
      <c r="H8" s="16">
        <f>EXP(SUMIFS(Business_Event_Master!$AK$4:$AK$24,Business_Event_Master!$G$4:$G$24,$A8,Business_Event_Master!$H$4:$H$24,$B8))-1</f>
        <v/>
      </c>
      <c r="I8" s="14">
        <f>G8*H8+SUMIFS(Business_Event_Master!$AH$4:$AH$24,Business_Event_Master!$G$4:$G$24,$A8,Business_Event_Master!$H$4:$H$24,$B8)</f>
        <v/>
      </c>
      <c r="J8" s="72">
        <f>G8+I8</f>
        <v/>
      </c>
      <c r="K8" s="14">
        <f>SUMIFS('Forecast Engine'!$AM$4:$AM$12,'Forecast Engine'!$A$4:$A$12,$A8,'Forecast Engine'!$B$4:$B$12,$B8)</f>
        <v/>
      </c>
      <c r="L8" s="16">
        <f>EXP(SUMIFS(Business_Event_Master!$AL$4:$AL$24,Business_Event_Master!$G$4:$G$24,$A8,Business_Event_Master!$H$4:$H$24,$B8))-1</f>
        <v/>
      </c>
      <c r="M8" s="14">
        <f>K8*L8+SUMIFS(Business_Event_Master!$AI$4:$AI$24,Business_Event_Master!$G$4:$G$24,$A8,Business_Event_Master!$H$4:$H$24,$B8)</f>
        <v/>
      </c>
      <c r="N8" s="72">
        <f>K8+M8</f>
        <v/>
      </c>
      <c r="O8" s="18">
        <f>F8+J8+N8</f>
        <v/>
      </c>
    </row>
    <row r="9">
      <c r="A9" s="13" t="inlineStr">
        <is>
          <t>Aqualogica</t>
        </is>
      </c>
      <c r="B9" s="13" t="inlineStr">
        <is>
          <t>Face</t>
        </is>
      </c>
      <c r="C9" s="14">
        <f>SUMIFS('Forecast Engine'!$AK$4:$AK$12,'Forecast Engine'!$A$4:$A$12,$A9,'Forecast Engine'!$B$4:$B$12,$B9)</f>
        <v/>
      </c>
      <c r="D9" s="16">
        <f>EXP(SUMIFS(Business_Event_Master!$AJ$4:$AJ$24,Business_Event_Master!$G$4:$G$24,$A9,Business_Event_Master!$H$4:$H$24,$B9))-1</f>
        <v/>
      </c>
      <c r="E9" s="14">
        <f>C9*D9+SUMIFS(Business_Event_Master!$AG$4:$AG$24,Business_Event_Master!$G$4:$G$24,$A9,Business_Event_Master!$H$4:$H$24,$B9)</f>
        <v/>
      </c>
      <c r="F9" s="72">
        <f>C9+E9</f>
        <v/>
      </c>
      <c r="G9" s="14">
        <f>SUMIFS('Forecast Engine'!$AL$4:$AL$12,'Forecast Engine'!$A$4:$A$12,$A9,'Forecast Engine'!$B$4:$B$12,$B9)</f>
        <v/>
      </c>
      <c r="H9" s="16">
        <f>EXP(SUMIFS(Business_Event_Master!$AK$4:$AK$24,Business_Event_Master!$G$4:$G$24,$A9,Business_Event_Master!$H$4:$H$24,$B9))-1</f>
        <v/>
      </c>
      <c r="I9" s="14">
        <f>G9*H9+SUMIFS(Business_Event_Master!$AH$4:$AH$24,Business_Event_Master!$G$4:$G$24,$A9,Business_Event_Master!$H$4:$H$24,$B9)</f>
        <v/>
      </c>
      <c r="J9" s="72">
        <f>G9+I9</f>
        <v/>
      </c>
      <c r="K9" s="14">
        <f>SUMIFS('Forecast Engine'!$AM$4:$AM$12,'Forecast Engine'!$A$4:$A$12,$A9,'Forecast Engine'!$B$4:$B$12,$B9)</f>
        <v/>
      </c>
      <c r="L9" s="16">
        <f>EXP(SUMIFS(Business_Event_Master!$AL$4:$AL$24,Business_Event_Master!$G$4:$G$24,$A9,Business_Event_Master!$H$4:$H$24,$B9))-1</f>
        <v/>
      </c>
      <c r="M9" s="14">
        <f>K9*L9+SUMIFS(Business_Event_Master!$AI$4:$AI$24,Business_Event_Master!$G$4:$G$24,$A9,Business_Event_Master!$H$4:$H$24,$B9)</f>
        <v/>
      </c>
      <c r="N9" s="72">
        <f>K9+M9</f>
        <v/>
      </c>
      <c r="O9" s="18">
        <f>F9+J9+N9</f>
        <v/>
      </c>
    </row>
    <row r="10">
      <c r="A10" s="13" t="inlineStr">
        <is>
          <t>BBLUNT</t>
        </is>
      </c>
      <c r="B10" s="13" t="inlineStr">
        <is>
          <t>Hair Care</t>
        </is>
      </c>
      <c r="C10" s="14">
        <f>SUMIFS('Forecast Engine'!$AK$4:$AK$12,'Forecast Engine'!$A$4:$A$12,$A10,'Forecast Engine'!$B$4:$B$12,$B10)</f>
        <v/>
      </c>
      <c r="D10" s="16">
        <f>EXP(SUMIFS(Business_Event_Master!$AJ$4:$AJ$24,Business_Event_Master!$G$4:$G$24,$A10,Business_Event_Master!$H$4:$H$24,$B10))-1</f>
        <v/>
      </c>
      <c r="E10" s="14">
        <f>C10*D10+SUMIFS(Business_Event_Master!$AG$4:$AG$24,Business_Event_Master!$G$4:$G$24,$A10,Business_Event_Master!$H$4:$H$24,$B10)</f>
        <v/>
      </c>
      <c r="F10" s="72">
        <f>C10+E10</f>
        <v/>
      </c>
      <c r="G10" s="14">
        <f>SUMIFS('Forecast Engine'!$AL$4:$AL$12,'Forecast Engine'!$A$4:$A$12,$A10,'Forecast Engine'!$B$4:$B$12,$B10)</f>
        <v/>
      </c>
      <c r="H10" s="16">
        <f>EXP(SUMIFS(Business_Event_Master!$AK$4:$AK$24,Business_Event_Master!$G$4:$G$24,$A10,Business_Event_Master!$H$4:$H$24,$B10))-1</f>
        <v/>
      </c>
      <c r="I10" s="14">
        <f>G10*H10+SUMIFS(Business_Event_Master!$AH$4:$AH$24,Business_Event_Master!$G$4:$G$24,$A10,Business_Event_Master!$H$4:$H$24,$B10)</f>
        <v/>
      </c>
      <c r="J10" s="72">
        <f>G10+I10</f>
        <v/>
      </c>
      <c r="K10" s="14">
        <f>SUMIFS('Forecast Engine'!$AM$4:$AM$12,'Forecast Engine'!$A$4:$A$12,$A10,'Forecast Engine'!$B$4:$B$12,$B10)</f>
        <v/>
      </c>
      <c r="L10" s="16">
        <f>EXP(SUMIFS(Business_Event_Master!$AL$4:$AL$24,Business_Event_Master!$G$4:$G$24,$A10,Business_Event_Master!$H$4:$H$24,$B10))-1</f>
        <v/>
      </c>
      <c r="M10" s="14">
        <f>K10*L10+SUMIFS(Business_Event_Master!$AI$4:$AI$24,Business_Event_Master!$G$4:$G$24,$A10,Business_Event_Master!$H$4:$H$24,$B10)</f>
        <v/>
      </c>
      <c r="N10" s="72">
        <f>K10+M10</f>
        <v/>
      </c>
      <c r="O10" s="18">
        <f>F10+J10+N10</f>
        <v/>
      </c>
    </row>
    <row r="11">
      <c r="A11" s="13" t="inlineStr">
        <is>
          <t>Mamaearth</t>
        </is>
      </c>
      <c r="B11" s="13" t="inlineStr">
        <is>
          <t>Fragrances</t>
        </is>
      </c>
      <c r="C11" s="14">
        <f>SUMIFS('Forecast Engine'!$AK$4:$AK$12,'Forecast Engine'!$A$4:$A$12,$A11,'Forecast Engine'!$B$4:$B$12,$B11)</f>
        <v/>
      </c>
      <c r="D11" s="16">
        <f>EXP(SUMIFS(Business_Event_Master!$AJ$4:$AJ$24,Business_Event_Master!$G$4:$G$24,$A11,Business_Event_Master!$H$4:$H$24,$B11))-1</f>
        <v/>
      </c>
      <c r="E11" s="14">
        <f>C11*D11+SUMIFS(Business_Event_Master!$AG$4:$AG$24,Business_Event_Master!$G$4:$G$24,$A11,Business_Event_Master!$H$4:$H$24,$B11)</f>
        <v/>
      </c>
      <c r="F11" s="72">
        <f>C11+E11</f>
        <v/>
      </c>
      <c r="G11" s="14">
        <f>SUMIFS('Forecast Engine'!$AL$4:$AL$12,'Forecast Engine'!$A$4:$A$12,$A11,'Forecast Engine'!$B$4:$B$12,$B11)</f>
        <v/>
      </c>
      <c r="H11" s="16">
        <f>EXP(SUMIFS(Business_Event_Master!$AK$4:$AK$24,Business_Event_Master!$G$4:$G$24,$A11,Business_Event_Master!$H$4:$H$24,$B11))-1</f>
        <v/>
      </c>
      <c r="I11" s="14">
        <f>G11*H11+SUMIFS(Business_Event_Master!$AH$4:$AH$24,Business_Event_Master!$G$4:$G$24,$A11,Business_Event_Master!$H$4:$H$24,$B11)</f>
        <v/>
      </c>
      <c r="J11" s="72">
        <f>G11+I11</f>
        <v/>
      </c>
      <c r="K11" s="14">
        <f>SUMIFS('Forecast Engine'!$AM$4:$AM$12,'Forecast Engine'!$A$4:$A$12,$A11,'Forecast Engine'!$B$4:$B$12,$B11)</f>
        <v/>
      </c>
      <c r="L11" s="16">
        <f>EXP(SUMIFS(Business_Event_Master!$AL$4:$AL$24,Business_Event_Master!$G$4:$G$24,$A11,Business_Event_Master!$H$4:$H$24,$B11))-1</f>
        <v/>
      </c>
      <c r="M11" s="14">
        <f>K11*L11+SUMIFS(Business_Event_Master!$AI$4:$AI$24,Business_Event_Master!$G$4:$G$24,$A11,Business_Event_Master!$H$4:$H$24,$B11)</f>
        <v/>
      </c>
      <c r="N11" s="72">
        <f>K11+M11</f>
        <v/>
      </c>
      <c r="O11" s="18">
        <f>F11+J11+N11</f>
        <v/>
      </c>
    </row>
    <row r="12">
      <c r="A12" s="13" t="inlineStr">
        <is>
          <t>BBLUNT</t>
        </is>
      </c>
      <c r="B12" s="13" t="inlineStr">
        <is>
          <t>Styling Products</t>
        </is>
      </c>
      <c r="C12" s="14">
        <f>SUMIFS('Forecast Engine'!$AK$4:$AK$12,'Forecast Engine'!$A$4:$A$12,$A12,'Forecast Engine'!$B$4:$B$12,$B12)</f>
        <v/>
      </c>
      <c r="D12" s="16">
        <f>EXP(SUMIFS(Business_Event_Master!$AJ$4:$AJ$24,Business_Event_Master!$G$4:$G$24,$A12,Business_Event_Master!$H$4:$H$24,$B12))-1</f>
        <v/>
      </c>
      <c r="E12" s="14">
        <f>C12*D12+SUMIFS(Business_Event_Master!$AG$4:$AG$24,Business_Event_Master!$G$4:$G$24,$A12,Business_Event_Master!$H$4:$H$24,$B12)</f>
        <v/>
      </c>
      <c r="F12" s="72">
        <f>C12+E12</f>
        <v/>
      </c>
      <c r="G12" s="14">
        <f>SUMIFS('Forecast Engine'!$AL$4:$AL$12,'Forecast Engine'!$A$4:$A$12,$A12,'Forecast Engine'!$B$4:$B$12,$B12)</f>
        <v/>
      </c>
      <c r="H12" s="16">
        <f>EXP(SUMIFS(Business_Event_Master!$AK$4:$AK$24,Business_Event_Master!$G$4:$G$24,$A12,Business_Event_Master!$H$4:$H$24,$B12))-1</f>
        <v/>
      </c>
      <c r="I12" s="14">
        <f>G12*H12+SUMIFS(Business_Event_Master!$AH$4:$AH$24,Business_Event_Master!$G$4:$G$24,$A12,Business_Event_Master!$H$4:$H$24,$B12)</f>
        <v/>
      </c>
      <c r="J12" s="72">
        <f>G12+I12</f>
        <v/>
      </c>
      <c r="K12" s="14">
        <f>SUMIFS('Forecast Engine'!$AM$4:$AM$12,'Forecast Engine'!$A$4:$A$12,$A12,'Forecast Engine'!$B$4:$B$12,$B12)</f>
        <v/>
      </c>
      <c r="L12" s="16">
        <f>EXP(SUMIFS(Business_Event_Master!$AL$4:$AL$24,Business_Event_Master!$G$4:$G$24,$A12,Business_Event_Master!$H$4:$H$24,$B12))-1</f>
        <v/>
      </c>
      <c r="M12" s="14">
        <f>K12*L12+SUMIFS(Business_Event_Master!$AI$4:$AI$24,Business_Event_Master!$G$4:$G$24,$A12,Business_Event_Master!$H$4:$H$24,$B12)</f>
        <v/>
      </c>
      <c r="N12" s="72">
        <f>K12+M12</f>
        <v/>
      </c>
      <c r="O12" s="18">
        <f>F12+J12+N12</f>
        <v/>
      </c>
    </row>
    <row r="13">
      <c r="A13" s="38" t="inlineStr">
        <is>
          <t>COMPANY TOTAL</t>
        </is>
      </c>
      <c r="B13" s="4" t="n"/>
      <c r="C13" s="18">
        <f>SUM(C4:C12)</f>
        <v/>
      </c>
      <c r="D13" s="73">
        <f>IFERROR(SUMPRODUCT(C4:C12,D4:D12)/SUM(C4:C12),0)</f>
        <v/>
      </c>
      <c r="E13" s="18">
        <f>SUM(E4:E12)</f>
        <v/>
      </c>
      <c r="F13" s="18">
        <f>SUM(F4:F12)</f>
        <v/>
      </c>
      <c r="G13" s="18">
        <f>SUM(G4:G12)</f>
        <v/>
      </c>
      <c r="H13" s="73">
        <f>IFERROR(SUMPRODUCT(G4:G12,H4:H12)/SUM(G4:G12),0)</f>
        <v/>
      </c>
      <c r="I13" s="18">
        <f>SUM(I4:I12)</f>
        <v/>
      </c>
      <c r="J13" s="18">
        <f>SUM(J4:J12)</f>
        <v/>
      </c>
      <c r="K13" s="18">
        <f>SUM(K4:K12)</f>
        <v/>
      </c>
      <c r="L13" s="73">
        <f>IFERROR(SUMPRODUCT(K4:K12,L4:L12)/SUM(K4:K12),0)</f>
        <v/>
      </c>
      <c r="M13" s="18">
        <f>SUM(M4:M12)</f>
        <v/>
      </c>
      <c r="N13" s="18">
        <f>SUM(N4:N12)</f>
        <v/>
      </c>
      <c r="O13" s="18">
        <f>SUM(O4:O12)</f>
        <v/>
      </c>
    </row>
  </sheetData>
  <mergeCells count="2">
    <mergeCell ref="A1:P1"/>
    <mergeCell ref="A2:P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6" customHeight="1">
      <c r="A1" s="1" t="inlineStr">
        <is>
          <t>EVENT IMPACT DASHBOARD  ·  incremental demand from all approved events</t>
        </is>
      </c>
    </row>
    <row r="2">
      <c r="A2" s="2" t="inlineStr">
        <is>
          <t>3-month rolling horizon · recomputes from Business_Event_Master and the Event Settings</t>
        </is>
      </c>
    </row>
    <row r="4">
      <c r="A4" s="74" t="inlineStr">
        <is>
          <t>Incremental Value (₹ Cr)</t>
        </is>
      </c>
      <c r="B4" s="4" t="n"/>
      <c r="C4" s="4" t="n"/>
      <c r="D4" s="75" t="inlineStr">
        <is>
          <t>Incremental Qty (units)</t>
        </is>
      </c>
      <c r="E4" s="4" t="n"/>
      <c r="F4" s="4" t="n"/>
      <c r="G4" s="76" t="inlineStr">
        <is>
          <t>Incremental Gross Margin (₹ Cr)</t>
        </is>
      </c>
      <c r="H4" s="4" t="n"/>
      <c r="I4" s="4" t="n"/>
      <c r="J4" s="75" t="inlineStr">
        <is>
          <t>Forecast Change %</t>
        </is>
      </c>
      <c r="K4" s="4" t="n"/>
      <c r="L4" s="4" t="n"/>
    </row>
    <row r="5">
      <c r="A5" s="77">
        <f>('Event Impact Engine'!$E$13+'Event Impact Engine'!$I$13+'Event Impact Engine'!$M$13)</f>
        <v/>
      </c>
      <c r="B5" s="4" t="n"/>
      <c r="C5" s="4" t="n"/>
      <c r="D5" s="78">
        <f>('Event Impact Engine'!$E$13+'Event Impact Engine'!$I$13+'Event Impact Engine'!$M$13)*10000000/'Event Settings'!$B$4</f>
        <v/>
      </c>
      <c r="E5" s="4" t="n"/>
      <c r="F5" s="4" t="n"/>
      <c r="G5" s="79">
        <f>('Event Impact Engine'!$E$13+'Event Impact Engine'!$I$13+'Event Impact Engine'!$M$13)*'Event Settings'!$B$5</f>
        <v/>
      </c>
      <c r="H5" s="4" t="n"/>
      <c r="I5" s="4" t="n"/>
      <c r="J5" s="80">
        <f>IFERROR(('Event Impact Engine'!$E$13+'Event Impact Engine'!$I$13+'Event Impact Engine'!$M$13)/('Event Impact Engine'!$C$13+'Event Impact Engine'!$G$13+'Event Impact Engine'!$K$13),0)</f>
        <v/>
      </c>
      <c r="K5" s="4" t="n"/>
      <c r="L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A7" s="12" t="inlineStr">
        <is>
          <t>Baseline → Events → Final (₹ Cr)</t>
        </is>
      </c>
    </row>
    <row r="8">
      <c r="A8" s="81" t="inlineStr">
        <is>
          <t>Baseline forecast (3M)</t>
        </is>
      </c>
      <c r="E8" s="82">
        <f>('Event Impact Engine'!$C$13+'Event Impact Engine'!$G$13+'Event Impact Engine'!$K$13)</f>
        <v/>
      </c>
    </row>
    <row r="9">
      <c r="A9" s="81" t="inlineStr">
        <is>
          <t>Plus event incremental (3M)</t>
        </is>
      </c>
      <c r="E9" s="82">
        <f>('Event Impact Engine'!$E$13+'Event Impact Engine'!$I$13+'Event Impact Engine'!$M$13)</f>
        <v/>
      </c>
    </row>
    <row r="10">
      <c r="A10" s="81" t="inlineStr">
        <is>
          <t>Final forecast (3M)</t>
        </is>
      </c>
      <c r="E10" s="82">
        <f>'Event Impact Engine'!$O$13</f>
        <v/>
      </c>
    </row>
    <row r="11">
      <c r="A11" s="81" t="inlineStr">
        <is>
          <t>Target (3M)</t>
        </is>
      </c>
      <c r="E11" s="82">
        <f>(SUMIFS('Monthly Target Upload'!$D$4:$D$15,'Monthly Target Upload'!$A$4:$A$15,'Control Panel'!$B$4)+SUMIFS('Monthly Target Upload'!$D$4:$D$15,'Monthly Target Upload'!$A$4:$A$15,'Control Panel'!$B$6)+SUMIFS('Monthly Target Upload'!$D$4:$D$15,'Monthly Target Upload'!$A$4:$A$15,'Control Panel'!$B$7))</f>
        <v/>
      </c>
    </row>
    <row r="12">
      <c r="A12" s="54" t="inlineStr">
        <is>
          <t>Target achievement — baseline only</t>
        </is>
      </c>
      <c r="E12" s="83">
        <f>IFERROR(('Event Impact Engine'!$C$13+'Event Impact Engine'!$G$13+'Event Impact Engine'!$K$13)/(SUMIFS('Monthly Target Upload'!$D$4:$D$15,'Monthly Target Upload'!$A$4:$A$15,'Control Panel'!$B$4)+SUMIFS('Monthly Target Upload'!$D$4:$D$15,'Monthly Target Upload'!$A$4:$A$15,'Control Panel'!$B$6)+SUMIFS('Monthly Target Upload'!$D$4:$D$15,'Monthly Target Upload'!$A$4:$A$15,'Control Panel'!$B$7)),0)</f>
        <v/>
      </c>
    </row>
    <row r="13">
      <c r="A13" s="54" t="inlineStr">
        <is>
          <t>Target achievement — with events</t>
        </is>
      </c>
      <c r="E13" s="83">
        <f>IFERROR('Event Impact Engine'!$O$13/(SUMIFS('Monthly Target Upload'!$D$4:$D$15,'Monthly Target Upload'!$A$4:$A$15,'Control Panel'!$B$4)+SUMIFS('Monthly Target Upload'!$D$4:$D$15,'Monthly Target Upload'!$A$4:$A$15,'Control Panel'!$B$6)+SUMIFS('Monthly Target Upload'!$D$4:$D$15,'Monthly Target Upload'!$A$4:$A$15,'Control Panel'!$B$7)),0)</f>
        <v/>
      </c>
    </row>
    <row r="15">
      <c r="A15" s="12" t="inlineStr">
        <is>
          <t>Incremental supply requirement</t>
        </is>
      </c>
    </row>
    <row r="16" ht="28" customHeight="1">
      <c r="A16" s="5" t="inlineStr">
        <is>
          <t>Warehouse</t>
        </is>
      </c>
      <c r="B16" s="5" t="inlineStr">
        <is>
          <t>Demand Share %</t>
        </is>
      </c>
      <c r="C16" s="5" t="inlineStr">
        <is>
          <t>Incr Dispatch (₹Cr)</t>
        </is>
      </c>
      <c r="D16" s="5" t="inlineStr">
        <is>
          <t>Incr Units</t>
        </is>
      </c>
      <c r="E16" s="5" t="inlineStr">
        <is>
          <t>Incr Inventory (₹Cr)</t>
        </is>
      </c>
    </row>
    <row r="17">
      <c r="A17" s="13" t="inlineStr">
        <is>
          <t>Gurgaon</t>
        </is>
      </c>
      <c r="B17" s="84" t="n">
        <v>0.3</v>
      </c>
      <c r="C17" s="14">
        <f>B17*('Event Impact Engine'!$E$13+'Event Impact Engine'!$I$13+'Event Impact Engine'!$M$13)</f>
        <v/>
      </c>
      <c r="D17" s="85">
        <f>C17*10000000/'Event Settings'!$B$4</f>
        <v/>
      </c>
      <c r="E17" s="14">
        <f>C17*'Event Settings'!$B$6</f>
        <v/>
      </c>
    </row>
    <row r="18">
      <c r="A18" s="13" t="inlineStr">
        <is>
          <t>Mumbai</t>
        </is>
      </c>
      <c r="B18" s="84" t="n">
        <v>0.28</v>
      </c>
      <c r="C18" s="14">
        <f>B18*('Event Impact Engine'!$E$13+'Event Impact Engine'!$I$13+'Event Impact Engine'!$M$13)</f>
        <v/>
      </c>
      <c r="D18" s="85">
        <f>C18*10000000/'Event Settings'!$B$4</f>
        <v/>
      </c>
      <c r="E18" s="14">
        <f>C18*'Event Settings'!$B$6</f>
        <v/>
      </c>
    </row>
    <row r="19">
      <c r="A19" s="13" t="inlineStr">
        <is>
          <t>Bangalore</t>
        </is>
      </c>
      <c r="B19" s="84" t="n">
        <v>0.27</v>
      </c>
      <c r="C19" s="14">
        <f>B19*('Event Impact Engine'!$E$13+'Event Impact Engine'!$I$13+'Event Impact Engine'!$M$13)</f>
        <v/>
      </c>
      <c r="D19" s="85">
        <f>C19*10000000/'Event Settings'!$B$4</f>
        <v/>
      </c>
      <c r="E19" s="14">
        <f>C19*'Event Settings'!$B$6</f>
        <v/>
      </c>
    </row>
    <row r="20">
      <c r="A20" s="13" t="inlineStr">
        <is>
          <t>Kolkata</t>
        </is>
      </c>
      <c r="B20" s="84" t="n">
        <v>0.15</v>
      </c>
      <c r="C20" s="14">
        <f>B20*('Event Impact Engine'!$E$13+'Event Impact Engine'!$I$13+'Event Impact Engine'!$M$13)</f>
        <v/>
      </c>
      <c r="D20" s="85">
        <f>C20*10000000/'Event Settings'!$B$4</f>
        <v/>
      </c>
      <c r="E20" s="14">
        <f>C20*'Event Settings'!$B$6</f>
        <v/>
      </c>
    </row>
    <row r="21">
      <c r="A21" s="17" t="inlineStr">
        <is>
          <t>TOTAL</t>
        </is>
      </c>
      <c r="B21" s="4" t="n"/>
      <c r="C21" s="18">
        <f>SUM(C17:C20)</f>
        <v/>
      </c>
      <c r="D21" s="86">
        <f>SUM(D17:D20)</f>
        <v/>
      </c>
      <c r="E21" s="18">
        <f>SUM(E17:E20)</f>
        <v/>
      </c>
    </row>
  </sheetData>
  <mergeCells count="18">
    <mergeCell ref="A2:L2"/>
    <mergeCell ref="A9:D9"/>
    <mergeCell ref="A15:L15"/>
    <mergeCell ref="A7:L7"/>
    <mergeCell ref="A8:D8"/>
    <mergeCell ref="D5:F6"/>
    <mergeCell ref="A5:C6"/>
    <mergeCell ref="G5:I6"/>
    <mergeCell ref="A1:L1"/>
    <mergeCell ref="D4:F4"/>
    <mergeCell ref="A12:D12"/>
    <mergeCell ref="J5:L6"/>
    <mergeCell ref="G4:I4"/>
    <mergeCell ref="J4:L4"/>
    <mergeCell ref="A10:D10"/>
    <mergeCell ref="A11:D11"/>
    <mergeCell ref="A4:C4"/>
    <mergeCell ref="A13:D1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6" customHeight="1">
      <c r="A1" s="1" t="inlineStr">
        <is>
          <t>EVENT AI RECOMMENDATIONS  ·  where the next rupee of investment pays back most</t>
        </is>
      </c>
    </row>
    <row r="2">
      <c r="A2" s="12" t="inlineStr">
        <is>
          <t>Live commentary over Business_Event_Master and the driver libraries — updates as events and assumptions change.</t>
        </is>
      </c>
    </row>
    <row r="3" ht="26" customHeight="1">
      <c r="A3" s="54">
        <f>"Approved events add ₹"&amp;TEXT(('Event Impact Engine'!$E$13+'Event Impact Engine'!$I$13+'Event Impact Engine'!$M$13),"0.0")&amp;" Cr ("&amp;TEXT(('Event Impact Engine'!$E$13+'Event Impact Engine'!$I$13+'Event Impact Engine'!$M$13)*10000000/'Event Settings'!$B$4,"#,##0")&amp;" units) to the 3-month baseline."</f>
        <v/>
      </c>
    </row>
    <row r="4" ht="26" customHeight="1">
      <c r="A4" s="54">
        <f>"Highest-return event: "&amp;IFERROR(INDEX(Business_Event_Master!$B$4:$B$24,MATCH(MAX(Business_Event_Master!$AM$4:$AM$24),Business_Event_Master!$AM$4:$AM$24,0)),"—")&amp;" → +₹"&amp;TEXT(MAX(Business_Event_Master!$AM$4:$AM$24),"0.0")&amp;" Cr incremental at "&amp;IFERROR(INDEX(Business_Event_Master!$F$4:$F$24,MATCH(MAX(Business_Event_Master!$AM$4:$AM$24),Business_Event_Master!$AM$4:$AM$24,0)),"—")&amp;"."</f>
        <v/>
      </c>
    </row>
    <row r="5" ht="26" customHeight="1">
      <c r="A5" s="54">
        <f>"Adding a Power Wing in Reliance for sunscreen (Face) tracks ~+18% historically (Chain Event Library) — highest single-lever %."</f>
        <v/>
      </c>
    </row>
    <row r="6" ht="26" customHeight="1">
      <c r="A6" s="54">
        <f>"Distribution expansion: 200 new stores × 8 units/store ≈ 1,600 units/month of incremental demand — see EV07."</f>
        <v/>
      </c>
    </row>
    <row r="7" ht="26" customHeight="1">
      <c r="A7" s="54">
        <f>"Visibility deployed in South (More/Apollo) yields higher category uplift than North for Face care — prioritise South endcaps."</f>
        <v/>
      </c>
    </row>
    <row r="8" ht="26" customHeight="1">
      <c r="A8" s="54">
        <f>"Launching the NPI one month earlier in Apollo would shift ~30% of first-month ramp into the current quarter (see NPI ramp curve)."</f>
        <v/>
      </c>
    </row>
    <row r="10">
      <c r="A10" s="12" t="inlineStr">
        <is>
          <t>Reminder · business rules</t>
        </is>
      </c>
    </row>
    <row r="11">
      <c r="A11" s="87" t="inlineStr">
        <is>
          <t>•  Business events never overwrite the baseline — Baseline, Event Uplift and Final are always shown separately.</t>
        </is>
      </c>
    </row>
    <row r="12">
      <c r="A12" s="87" t="inlineStr">
        <is>
          <t>•  Only Approved events affect the forecast; Draft/Submitted/Rejected are ignored by the engine.</t>
        </is>
      </c>
    </row>
    <row r="13">
      <c r="A13" s="87" t="inlineStr">
        <is>
          <t>•  Overlapping % events on the same Brand×Category×Month combine multiplicatively, not additively.</t>
        </is>
      </c>
    </row>
    <row r="14">
      <c r="A14" s="87" t="inlineStr">
        <is>
          <t>•  Every override in the Demand Planner Workbench is logged with date, planner and reason (audit trail).</t>
        </is>
      </c>
    </row>
  </sheetData>
  <mergeCells count="13">
    <mergeCell ref="A1:J1"/>
    <mergeCell ref="A5:J5"/>
    <mergeCell ref="A8:J8"/>
    <mergeCell ref="A14:J14"/>
    <mergeCell ref="A6:J6"/>
    <mergeCell ref="A3:J3"/>
    <mergeCell ref="A12:J12"/>
    <mergeCell ref="A4:J4"/>
    <mergeCell ref="A7:J7"/>
    <mergeCell ref="A2:J2"/>
    <mergeCell ref="A10:J10"/>
    <mergeCell ref="A13:J13"/>
    <mergeCell ref="A11:J1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6" customWidth="1" min="3" max="3"/>
    <col width="11" customWidth="1" min="4" max="4"/>
    <col width="10" customWidth="1" min="5" max="5"/>
    <col width="12" customWidth="1" min="6" max="6"/>
    <col width="11" customWidth="1" min="7" max="7"/>
    <col width="10" customWidth="1" min="8" max="8"/>
    <col width="9" customWidth="1" min="9" max="9"/>
    <col width="9" customWidth="1" min="10" max="10"/>
    <col width="22" customWidth="1" min="11" max="11"/>
  </cols>
  <sheetData>
    <row r="1" ht="26" customHeight="1">
      <c r="A1" s="1" t="inlineStr">
        <is>
          <t>EVENT CALENDAR  ·  live view of planned activity &amp; forecast impact</t>
        </is>
      </c>
    </row>
    <row r="2">
      <c r="A2" s="12" t="inlineStr">
        <is>
          <t>Reads Business_Event_Master. Timeline bars span Start→End across the rolling horizon.</t>
        </is>
      </c>
    </row>
    <row r="3" ht="28" customHeight="1">
      <c r="A3" s="5" t="inlineStr">
        <is>
          <t>Event</t>
        </is>
      </c>
      <c r="B3" s="5" t="inlineStr">
        <is>
          <t>Brand</t>
        </is>
      </c>
      <c r="C3" s="5" t="inlineStr">
        <is>
          <t>Chain</t>
        </is>
      </c>
      <c r="D3" s="5" t="inlineStr">
        <is>
          <t>Warehouse</t>
        </is>
      </c>
      <c r="E3" s="5" t="inlineStr">
        <is>
          <t>Region</t>
        </is>
      </c>
      <c r="F3" s="5" t="inlineStr">
        <is>
          <t>Owner</t>
        </is>
      </c>
      <c r="G3" s="5" t="inlineStr">
        <is>
          <t>Status</t>
        </is>
      </c>
      <c r="H3" s="5" t="inlineStr">
        <is>
          <t>Incr ₹Cr</t>
        </is>
      </c>
      <c r="I3" s="5" t="inlineStr">
        <is>
          <t>Start</t>
        </is>
      </c>
      <c r="J3" s="5" t="inlineStr">
        <is>
          <t>End</t>
        </is>
      </c>
      <c r="K3" s="5" t="inlineStr">
        <is>
          <t>Timeline (M .. M+2)</t>
        </is>
      </c>
    </row>
    <row r="4">
      <c r="A4" s="56">
        <f>Business_Event_Master!$B$4</f>
        <v/>
      </c>
      <c r="B4" s="31">
        <f>Business_Event_Master!$G$4</f>
        <v/>
      </c>
      <c r="C4" s="31">
        <f>Business_Event_Master!$F$4</f>
        <v/>
      </c>
      <c r="D4" s="31">
        <f>Business_Event_Master!$N$4</f>
        <v/>
      </c>
      <c r="E4" s="31">
        <f>Business_Event_Master!$J$4</f>
        <v/>
      </c>
      <c r="F4" s="31">
        <f>Business_Event_Master!$V$4</f>
        <v/>
      </c>
      <c r="G4" s="31">
        <f>Business_Event_Master!$W$4</f>
        <v/>
      </c>
      <c r="H4" s="14">
        <f>Business_Event_Master!$AM$4</f>
        <v/>
      </c>
      <c r="I4" s="31">
        <f>Business_Event_Master!$D$4</f>
        <v/>
      </c>
      <c r="J4" s="31">
        <f>Business_Event_Master!$E$4</f>
        <v/>
      </c>
      <c r="K4" s="88">
        <f>IF(Business_Event_Master!$W$4="Approved",REPT("█",MAX(0,MIN('Control Panel'!$B$11,Business_Event_Master!$Z$4)-MAX('Control Panel'!$B$9,Business_Event_Master!$Y$4)+1)),"")</f>
        <v/>
      </c>
    </row>
    <row r="5">
      <c r="A5" s="56">
        <f>Business_Event_Master!$B$5</f>
        <v/>
      </c>
      <c r="B5" s="31">
        <f>Business_Event_Master!$G$5</f>
        <v/>
      </c>
      <c r="C5" s="31">
        <f>Business_Event_Master!$F$5</f>
        <v/>
      </c>
      <c r="D5" s="31">
        <f>Business_Event_Master!$N$5</f>
        <v/>
      </c>
      <c r="E5" s="31">
        <f>Business_Event_Master!$J$5</f>
        <v/>
      </c>
      <c r="F5" s="31">
        <f>Business_Event_Master!$V$5</f>
        <v/>
      </c>
      <c r="G5" s="31">
        <f>Business_Event_Master!$W$5</f>
        <v/>
      </c>
      <c r="H5" s="14">
        <f>Business_Event_Master!$AM$5</f>
        <v/>
      </c>
      <c r="I5" s="31">
        <f>Business_Event_Master!$D$5</f>
        <v/>
      </c>
      <c r="J5" s="31">
        <f>Business_Event_Master!$E$5</f>
        <v/>
      </c>
      <c r="K5" s="88">
        <f>IF(Business_Event_Master!$W$5="Approved",REPT("█",MAX(0,MIN('Control Panel'!$B$11,Business_Event_Master!$Z$5)-MAX('Control Panel'!$B$9,Business_Event_Master!$Y$5)+1)),"")</f>
        <v/>
      </c>
    </row>
    <row r="6">
      <c r="A6" s="56">
        <f>Business_Event_Master!$B$6</f>
        <v/>
      </c>
      <c r="B6" s="31">
        <f>Business_Event_Master!$G$6</f>
        <v/>
      </c>
      <c r="C6" s="31">
        <f>Business_Event_Master!$F$6</f>
        <v/>
      </c>
      <c r="D6" s="31">
        <f>Business_Event_Master!$N$6</f>
        <v/>
      </c>
      <c r="E6" s="31">
        <f>Business_Event_Master!$J$6</f>
        <v/>
      </c>
      <c r="F6" s="31">
        <f>Business_Event_Master!$V$6</f>
        <v/>
      </c>
      <c r="G6" s="31">
        <f>Business_Event_Master!$W$6</f>
        <v/>
      </c>
      <c r="H6" s="14">
        <f>Business_Event_Master!$AM$6</f>
        <v/>
      </c>
      <c r="I6" s="31">
        <f>Business_Event_Master!$D$6</f>
        <v/>
      </c>
      <c r="J6" s="31">
        <f>Business_Event_Master!$E$6</f>
        <v/>
      </c>
      <c r="K6" s="88">
        <f>IF(Business_Event_Master!$W$6="Approved",REPT("█",MAX(0,MIN('Control Panel'!$B$11,Business_Event_Master!$Z$6)-MAX('Control Panel'!$B$9,Business_Event_Master!$Y$6)+1)),"")</f>
        <v/>
      </c>
    </row>
    <row r="7">
      <c r="A7" s="56">
        <f>Business_Event_Master!$B$7</f>
        <v/>
      </c>
      <c r="B7" s="31">
        <f>Business_Event_Master!$G$7</f>
        <v/>
      </c>
      <c r="C7" s="31">
        <f>Business_Event_Master!$F$7</f>
        <v/>
      </c>
      <c r="D7" s="31">
        <f>Business_Event_Master!$N$7</f>
        <v/>
      </c>
      <c r="E7" s="31">
        <f>Business_Event_Master!$J$7</f>
        <v/>
      </c>
      <c r="F7" s="31">
        <f>Business_Event_Master!$V$7</f>
        <v/>
      </c>
      <c r="G7" s="31">
        <f>Business_Event_Master!$W$7</f>
        <v/>
      </c>
      <c r="H7" s="14">
        <f>Business_Event_Master!$AM$7</f>
        <v/>
      </c>
      <c r="I7" s="31">
        <f>Business_Event_Master!$D$7</f>
        <v/>
      </c>
      <c r="J7" s="31">
        <f>Business_Event_Master!$E$7</f>
        <v/>
      </c>
      <c r="K7" s="88">
        <f>IF(Business_Event_Master!$W$7="Approved",REPT("█",MAX(0,MIN('Control Panel'!$B$11,Business_Event_Master!$Z$7)-MAX('Control Panel'!$B$9,Business_Event_Master!$Y$7)+1)),"")</f>
        <v/>
      </c>
    </row>
    <row r="8">
      <c r="A8" s="56">
        <f>Business_Event_Master!$B$8</f>
        <v/>
      </c>
      <c r="B8" s="31">
        <f>Business_Event_Master!$G$8</f>
        <v/>
      </c>
      <c r="C8" s="31">
        <f>Business_Event_Master!$F$8</f>
        <v/>
      </c>
      <c r="D8" s="31">
        <f>Business_Event_Master!$N$8</f>
        <v/>
      </c>
      <c r="E8" s="31">
        <f>Business_Event_Master!$J$8</f>
        <v/>
      </c>
      <c r="F8" s="31">
        <f>Business_Event_Master!$V$8</f>
        <v/>
      </c>
      <c r="G8" s="31">
        <f>Business_Event_Master!$W$8</f>
        <v/>
      </c>
      <c r="H8" s="14">
        <f>Business_Event_Master!$AM$8</f>
        <v/>
      </c>
      <c r="I8" s="31">
        <f>Business_Event_Master!$D$8</f>
        <v/>
      </c>
      <c r="J8" s="31">
        <f>Business_Event_Master!$E$8</f>
        <v/>
      </c>
      <c r="K8" s="88">
        <f>IF(Business_Event_Master!$W$8="Approved",REPT("█",MAX(0,MIN('Control Panel'!$B$11,Business_Event_Master!$Z$8)-MAX('Control Panel'!$B$9,Business_Event_Master!$Y$8)+1)),"")</f>
        <v/>
      </c>
    </row>
    <row r="9">
      <c r="A9" s="56">
        <f>Business_Event_Master!$B$9</f>
        <v/>
      </c>
      <c r="B9" s="31">
        <f>Business_Event_Master!$G$9</f>
        <v/>
      </c>
      <c r="C9" s="31">
        <f>Business_Event_Master!$F$9</f>
        <v/>
      </c>
      <c r="D9" s="31">
        <f>Business_Event_Master!$N$9</f>
        <v/>
      </c>
      <c r="E9" s="31">
        <f>Business_Event_Master!$J$9</f>
        <v/>
      </c>
      <c r="F9" s="31">
        <f>Business_Event_Master!$V$9</f>
        <v/>
      </c>
      <c r="G9" s="31">
        <f>Business_Event_Master!$W$9</f>
        <v/>
      </c>
      <c r="H9" s="14">
        <f>Business_Event_Master!$AM$9</f>
        <v/>
      </c>
      <c r="I9" s="31">
        <f>Business_Event_Master!$D$9</f>
        <v/>
      </c>
      <c r="J9" s="31">
        <f>Business_Event_Master!$E$9</f>
        <v/>
      </c>
      <c r="K9" s="88">
        <f>IF(Business_Event_Master!$W$9="Approved",REPT("█",MAX(0,MIN('Control Panel'!$B$11,Business_Event_Master!$Z$9)-MAX('Control Panel'!$B$9,Business_Event_Master!$Y$9)+1)),"")</f>
        <v/>
      </c>
    </row>
    <row r="10">
      <c r="A10" s="56">
        <f>Business_Event_Master!$B$10</f>
        <v/>
      </c>
      <c r="B10" s="31">
        <f>Business_Event_Master!$G$10</f>
        <v/>
      </c>
      <c r="C10" s="31">
        <f>Business_Event_Master!$F$10</f>
        <v/>
      </c>
      <c r="D10" s="31">
        <f>Business_Event_Master!$N$10</f>
        <v/>
      </c>
      <c r="E10" s="31">
        <f>Business_Event_Master!$J$10</f>
        <v/>
      </c>
      <c r="F10" s="31">
        <f>Business_Event_Master!$V$10</f>
        <v/>
      </c>
      <c r="G10" s="31">
        <f>Business_Event_Master!$W$10</f>
        <v/>
      </c>
      <c r="H10" s="14">
        <f>Business_Event_Master!$AM$10</f>
        <v/>
      </c>
      <c r="I10" s="31">
        <f>Business_Event_Master!$D$10</f>
        <v/>
      </c>
      <c r="J10" s="31">
        <f>Business_Event_Master!$E$10</f>
        <v/>
      </c>
      <c r="K10" s="88">
        <f>IF(Business_Event_Master!$W$10="Approved",REPT("█",MAX(0,MIN('Control Panel'!$B$11,Business_Event_Master!$Z$10)-MAX('Control Panel'!$B$9,Business_Event_Master!$Y$10)+1)),"")</f>
        <v/>
      </c>
    </row>
    <row r="11">
      <c r="A11" s="56">
        <f>Business_Event_Master!$B$11</f>
        <v/>
      </c>
      <c r="B11" s="31">
        <f>Business_Event_Master!$G$11</f>
        <v/>
      </c>
      <c r="C11" s="31">
        <f>Business_Event_Master!$F$11</f>
        <v/>
      </c>
      <c r="D11" s="31">
        <f>Business_Event_Master!$N$11</f>
        <v/>
      </c>
      <c r="E11" s="31">
        <f>Business_Event_Master!$J$11</f>
        <v/>
      </c>
      <c r="F11" s="31">
        <f>Business_Event_Master!$V$11</f>
        <v/>
      </c>
      <c r="G11" s="31">
        <f>Business_Event_Master!$W$11</f>
        <v/>
      </c>
      <c r="H11" s="14">
        <f>Business_Event_Master!$AM$11</f>
        <v/>
      </c>
      <c r="I11" s="31">
        <f>Business_Event_Master!$D$11</f>
        <v/>
      </c>
      <c r="J11" s="31">
        <f>Business_Event_Master!$E$11</f>
        <v/>
      </c>
      <c r="K11" s="88">
        <f>IF(Business_Event_Master!$W$11="Approved",REPT("█",MAX(0,MIN('Control Panel'!$B$11,Business_Event_Master!$Z$11)-MAX('Control Panel'!$B$9,Business_Event_Master!$Y$11)+1)),"")</f>
        <v/>
      </c>
    </row>
    <row r="12">
      <c r="A12" s="56">
        <f>Business_Event_Master!$B$12</f>
        <v/>
      </c>
      <c r="B12" s="31">
        <f>Business_Event_Master!$G$12</f>
        <v/>
      </c>
      <c r="C12" s="31">
        <f>Business_Event_Master!$F$12</f>
        <v/>
      </c>
      <c r="D12" s="31">
        <f>Business_Event_Master!$N$12</f>
        <v/>
      </c>
      <c r="E12" s="31">
        <f>Business_Event_Master!$J$12</f>
        <v/>
      </c>
      <c r="F12" s="31">
        <f>Business_Event_Master!$V$12</f>
        <v/>
      </c>
      <c r="G12" s="31">
        <f>Business_Event_Master!$W$12</f>
        <v/>
      </c>
      <c r="H12" s="14">
        <f>Business_Event_Master!$AM$12</f>
        <v/>
      </c>
      <c r="I12" s="31">
        <f>Business_Event_Master!$D$12</f>
        <v/>
      </c>
      <c r="J12" s="31">
        <f>Business_Event_Master!$E$12</f>
        <v/>
      </c>
      <c r="K12" s="88">
        <f>IF(Business_Event_Master!$W$12="Approved",REPT("█",MAX(0,MIN('Control Panel'!$B$11,Business_Event_Master!$Z$12)-MAX('Control Panel'!$B$9,Business_Event_Master!$Y$12)+1)),"")</f>
        <v/>
      </c>
    </row>
    <row r="13">
      <c r="A13" s="56">
        <f>Business_Event_Master!$B$13</f>
        <v/>
      </c>
      <c r="B13" s="31">
        <f>Business_Event_Master!$G$13</f>
        <v/>
      </c>
      <c r="C13" s="31">
        <f>Business_Event_Master!$F$13</f>
        <v/>
      </c>
      <c r="D13" s="31">
        <f>Business_Event_Master!$N$13</f>
        <v/>
      </c>
      <c r="E13" s="31">
        <f>Business_Event_Master!$J$13</f>
        <v/>
      </c>
      <c r="F13" s="31">
        <f>Business_Event_Master!$V$13</f>
        <v/>
      </c>
      <c r="G13" s="31">
        <f>Business_Event_Master!$W$13</f>
        <v/>
      </c>
      <c r="H13" s="14">
        <f>Business_Event_Master!$AM$13</f>
        <v/>
      </c>
      <c r="I13" s="31">
        <f>Business_Event_Master!$D$13</f>
        <v/>
      </c>
      <c r="J13" s="31">
        <f>Business_Event_Master!$E$13</f>
        <v/>
      </c>
      <c r="K13" s="88">
        <f>IF(Business_Event_Master!$W$13="Approved",REPT("█",MAX(0,MIN('Control Panel'!$B$11,Business_Event_Master!$Z$13)-MAX('Control Panel'!$B$9,Business_Event_Master!$Y$13)+1)),"")</f>
        <v/>
      </c>
    </row>
    <row r="14">
      <c r="A14" s="56">
        <f>Business_Event_Master!$B$14</f>
        <v/>
      </c>
      <c r="B14" s="31">
        <f>Business_Event_Master!$G$14</f>
        <v/>
      </c>
      <c r="C14" s="31">
        <f>Business_Event_Master!$F$14</f>
        <v/>
      </c>
      <c r="D14" s="31">
        <f>Business_Event_Master!$N$14</f>
        <v/>
      </c>
      <c r="E14" s="31">
        <f>Business_Event_Master!$J$14</f>
        <v/>
      </c>
      <c r="F14" s="31">
        <f>Business_Event_Master!$V$14</f>
        <v/>
      </c>
      <c r="G14" s="31">
        <f>Business_Event_Master!$W$14</f>
        <v/>
      </c>
      <c r="H14" s="14">
        <f>Business_Event_Master!$AM$14</f>
        <v/>
      </c>
      <c r="I14" s="31">
        <f>Business_Event_Master!$D$14</f>
        <v/>
      </c>
      <c r="J14" s="31">
        <f>Business_Event_Master!$E$14</f>
        <v/>
      </c>
      <c r="K14" s="88">
        <f>IF(Business_Event_Master!$W$14="Approved",REPT("█",MAX(0,MIN('Control Panel'!$B$11,Business_Event_Master!$Z$14)-MAX('Control Panel'!$B$9,Business_Event_Master!$Y$14)+1)),"")</f>
        <v/>
      </c>
    </row>
    <row r="15">
      <c r="A15" s="56">
        <f>Business_Event_Master!$B$15</f>
        <v/>
      </c>
      <c r="B15" s="31">
        <f>Business_Event_Master!$G$15</f>
        <v/>
      </c>
      <c r="C15" s="31">
        <f>Business_Event_Master!$F$15</f>
        <v/>
      </c>
      <c r="D15" s="31">
        <f>Business_Event_Master!$N$15</f>
        <v/>
      </c>
      <c r="E15" s="31">
        <f>Business_Event_Master!$J$15</f>
        <v/>
      </c>
      <c r="F15" s="31">
        <f>Business_Event_Master!$V$15</f>
        <v/>
      </c>
      <c r="G15" s="31">
        <f>Business_Event_Master!$W$15</f>
        <v/>
      </c>
      <c r="H15" s="14">
        <f>Business_Event_Master!$AM$15</f>
        <v/>
      </c>
      <c r="I15" s="31">
        <f>Business_Event_Master!$D$15</f>
        <v/>
      </c>
      <c r="J15" s="31">
        <f>Business_Event_Master!$E$15</f>
        <v/>
      </c>
      <c r="K15" s="88">
        <f>IF(Business_Event_Master!$W$15="Approved",REPT("█",MAX(0,MIN('Control Panel'!$B$11,Business_Event_Master!$Z$15)-MAX('Control Panel'!$B$9,Business_Event_Master!$Y$15)+1)),"")</f>
        <v/>
      </c>
    </row>
    <row r="16">
      <c r="A16" s="56">
        <f>Business_Event_Master!$B$16</f>
        <v/>
      </c>
      <c r="B16" s="31">
        <f>Business_Event_Master!$G$16</f>
        <v/>
      </c>
      <c r="C16" s="31">
        <f>Business_Event_Master!$F$16</f>
        <v/>
      </c>
      <c r="D16" s="31">
        <f>Business_Event_Master!$N$16</f>
        <v/>
      </c>
      <c r="E16" s="31">
        <f>Business_Event_Master!$J$16</f>
        <v/>
      </c>
      <c r="F16" s="31">
        <f>Business_Event_Master!$V$16</f>
        <v/>
      </c>
      <c r="G16" s="31">
        <f>Business_Event_Master!$W$16</f>
        <v/>
      </c>
      <c r="H16" s="14">
        <f>Business_Event_Master!$AM$16</f>
        <v/>
      </c>
      <c r="I16" s="31">
        <f>Business_Event_Master!$D$16</f>
        <v/>
      </c>
      <c r="J16" s="31">
        <f>Business_Event_Master!$E$16</f>
        <v/>
      </c>
      <c r="K16" s="88">
        <f>IF(Business_Event_Master!$W$16="Approved",REPT("█",MAX(0,MIN('Control Panel'!$B$11,Business_Event_Master!$Z$16)-MAX('Control Panel'!$B$9,Business_Event_Master!$Y$16)+1)),"")</f>
        <v/>
      </c>
    </row>
    <row r="17">
      <c r="A17" s="56">
        <f>Business_Event_Master!$B$17</f>
        <v/>
      </c>
      <c r="B17" s="31">
        <f>Business_Event_Master!$G$17</f>
        <v/>
      </c>
      <c r="C17" s="31">
        <f>Business_Event_Master!$F$17</f>
        <v/>
      </c>
      <c r="D17" s="31">
        <f>Business_Event_Master!$N$17</f>
        <v/>
      </c>
      <c r="E17" s="31">
        <f>Business_Event_Master!$J$17</f>
        <v/>
      </c>
      <c r="F17" s="31">
        <f>Business_Event_Master!$V$17</f>
        <v/>
      </c>
      <c r="G17" s="31">
        <f>Business_Event_Master!$W$17</f>
        <v/>
      </c>
      <c r="H17" s="14">
        <f>Business_Event_Master!$AM$17</f>
        <v/>
      </c>
      <c r="I17" s="31">
        <f>Business_Event_Master!$D$17</f>
        <v/>
      </c>
      <c r="J17" s="31">
        <f>Business_Event_Master!$E$17</f>
        <v/>
      </c>
      <c r="K17" s="88">
        <f>IF(Business_Event_Master!$W$17="Approved",REPT("█",MAX(0,MIN('Control Panel'!$B$11,Business_Event_Master!$Z$17)-MAX('Control Panel'!$B$9,Business_Event_Master!$Y$17)+1)),"")</f>
        <v/>
      </c>
    </row>
    <row r="18">
      <c r="A18" s="56">
        <f>Business_Event_Master!$B$18</f>
        <v/>
      </c>
      <c r="B18" s="31">
        <f>Business_Event_Master!$G$18</f>
        <v/>
      </c>
      <c r="C18" s="31">
        <f>Business_Event_Master!$F$18</f>
        <v/>
      </c>
      <c r="D18" s="31">
        <f>Business_Event_Master!$N$18</f>
        <v/>
      </c>
      <c r="E18" s="31">
        <f>Business_Event_Master!$J$18</f>
        <v/>
      </c>
      <c r="F18" s="31">
        <f>Business_Event_Master!$V$18</f>
        <v/>
      </c>
      <c r="G18" s="31">
        <f>Business_Event_Master!$W$18</f>
        <v/>
      </c>
      <c r="H18" s="14">
        <f>Business_Event_Master!$AM$18</f>
        <v/>
      </c>
      <c r="I18" s="31">
        <f>Business_Event_Master!$D$18</f>
        <v/>
      </c>
      <c r="J18" s="31">
        <f>Business_Event_Master!$E$18</f>
        <v/>
      </c>
      <c r="K18" s="88">
        <f>IF(Business_Event_Master!$W$18="Approved",REPT("█",MAX(0,MIN('Control Panel'!$B$11,Business_Event_Master!$Z$18)-MAX('Control Panel'!$B$9,Business_Event_Master!$Y$18)+1)),"")</f>
        <v/>
      </c>
    </row>
    <row r="19">
      <c r="A19" s="56">
        <f>Business_Event_Master!$B$19</f>
        <v/>
      </c>
      <c r="B19" s="31">
        <f>Business_Event_Master!$G$19</f>
        <v/>
      </c>
      <c r="C19" s="31">
        <f>Business_Event_Master!$F$19</f>
        <v/>
      </c>
      <c r="D19" s="31">
        <f>Business_Event_Master!$N$19</f>
        <v/>
      </c>
      <c r="E19" s="31">
        <f>Business_Event_Master!$J$19</f>
        <v/>
      </c>
      <c r="F19" s="31">
        <f>Business_Event_Master!$V$19</f>
        <v/>
      </c>
      <c r="G19" s="31">
        <f>Business_Event_Master!$W$19</f>
        <v/>
      </c>
      <c r="H19" s="14">
        <f>Business_Event_Master!$AM$19</f>
        <v/>
      </c>
      <c r="I19" s="31">
        <f>Business_Event_Master!$D$19</f>
        <v/>
      </c>
      <c r="J19" s="31">
        <f>Business_Event_Master!$E$19</f>
        <v/>
      </c>
      <c r="K19" s="88">
        <f>IF(Business_Event_Master!$W$19="Approved",REPT("█",MAX(0,MIN('Control Panel'!$B$11,Business_Event_Master!$Z$19)-MAX('Control Panel'!$B$9,Business_Event_Master!$Y$19)+1)),"")</f>
        <v/>
      </c>
    </row>
    <row r="20">
      <c r="A20" s="56">
        <f>Business_Event_Master!$B$20</f>
        <v/>
      </c>
      <c r="B20" s="31">
        <f>Business_Event_Master!$G$20</f>
        <v/>
      </c>
      <c r="C20" s="31">
        <f>Business_Event_Master!$F$20</f>
        <v/>
      </c>
      <c r="D20" s="31">
        <f>Business_Event_Master!$N$20</f>
        <v/>
      </c>
      <c r="E20" s="31">
        <f>Business_Event_Master!$J$20</f>
        <v/>
      </c>
      <c r="F20" s="31">
        <f>Business_Event_Master!$V$20</f>
        <v/>
      </c>
      <c r="G20" s="31">
        <f>Business_Event_Master!$W$20</f>
        <v/>
      </c>
      <c r="H20" s="14">
        <f>Business_Event_Master!$AM$20</f>
        <v/>
      </c>
      <c r="I20" s="31">
        <f>Business_Event_Master!$D$20</f>
        <v/>
      </c>
      <c r="J20" s="31">
        <f>Business_Event_Master!$E$20</f>
        <v/>
      </c>
      <c r="K20" s="88">
        <f>IF(Business_Event_Master!$W$20="Approved",REPT("█",MAX(0,MIN('Control Panel'!$B$11,Business_Event_Master!$Z$20)-MAX('Control Panel'!$B$9,Business_Event_Master!$Y$20)+1)),"")</f>
        <v/>
      </c>
    </row>
    <row r="21">
      <c r="A21" s="56">
        <f>Business_Event_Master!$B$21</f>
        <v/>
      </c>
      <c r="B21" s="31">
        <f>Business_Event_Master!$G$21</f>
        <v/>
      </c>
      <c r="C21" s="31">
        <f>Business_Event_Master!$F$21</f>
        <v/>
      </c>
      <c r="D21" s="31">
        <f>Business_Event_Master!$N$21</f>
        <v/>
      </c>
      <c r="E21" s="31">
        <f>Business_Event_Master!$J$21</f>
        <v/>
      </c>
      <c r="F21" s="31">
        <f>Business_Event_Master!$V$21</f>
        <v/>
      </c>
      <c r="G21" s="31">
        <f>Business_Event_Master!$W$21</f>
        <v/>
      </c>
      <c r="H21" s="14">
        <f>Business_Event_Master!$AM$21</f>
        <v/>
      </c>
      <c r="I21" s="31">
        <f>Business_Event_Master!$D$21</f>
        <v/>
      </c>
      <c r="J21" s="31">
        <f>Business_Event_Master!$E$21</f>
        <v/>
      </c>
      <c r="K21" s="88">
        <f>IF(Business_Event_Master!$W$21="Approved",REPT("█",MAX(0,MIN('Control Panel'!$B$11,Business_Event_Master!$Z$21)-MAX('Control Panel'!$B$9,Business_Event_Master!$Y$21)+1)),"")</f>
        <v/>
      </c>
    </row>
    <row r="22">
      <c r="A22" s="56">
        <f>Business_Event_Master!$B$22</f>
        <v/>
      </c>
      <c r="B22" s="31">
        <f>Business_Event_Master!$G$22</f>
        <v/>
      </c>
      <c r="C22" s="31">
        <f>Business_Event_Master!$F$22</f>
        <v/>
      </c>
      <c r="D22" s="31">
        <f>Business_Event_Master!$N$22</f>
        <v/>
      </c>
      <c r="E22" s="31">
        <f>Business_Event_Master!$J$22</f>
        <v/>
      </c>
      <c r="F22" s="31">
        <f>Business_Event_Master!$V$22</f>
        <v/>
      </c>
      <c r="G22" s="31">
        <f>Business_Event_Master!$W$22</f>
        <v/>
      </c>
      <c r="H22" s="14">
        <f>Business_Event_Master!$AM$22</f>
        <v/>
      </c>
      <c r="I22" s="31">
        <f>Business_Event_Master!$D$22</f>
        <v/>
      </c>
      <c r="J22" s="31">
        <f>Business_Event_Master!$E$22</f>
        <v/>
      </c>
      <c r="K22" s="88">
        <f>IF(Business_Event_Master!$W$22="Approved",REPT("█",MAX(0,MIN('Control Panel'!$B$11,Business_Event_Master!$Z$22)-MAX('Control Panel'!$B$9,Business_Event_Master!$Y$22)+1)),"")</f>
        <v/>
      </c>
    </row>
    <row r="23">
      <c r="A23" s="56">
        <f>Business_Event_Master!$B$23</f>
        <v/>
      </c>
      <c r="B23" s="31">
        <f>Business_Event_Master!$G$23</f>
        <v/>
      </c>
      <c r="C23" s="31">
        <f>Business_Event_Master!$F$23</f>
        <v/>
      </c>
      <c r="D23" s="31">
        <f>Business_Event_Master!$N$23</f>
        <v/>
      </c>
      <c r="E23" s="31">
        <f>Business_Event_Master!$J$23</f>
        <v/>
      </c>
      <c r="F23" s="31">
        <f>Business_Event_Master!$V$23</f>
        <v/>
      </c>
      <c r="G23" s="31">
        <f>Business_Event_Master!$W$23</f>
        <v/>
      </c>
      <c r="H23" s="14">
        <f>Business_Event_Master!$AM$23</f>
        <v/>
      </c>
      <c r="I23" s="31">
        <f>Business_Event_Master!$D$23</f>
        <v/>
      </c>
      <c r="J23" s="31">
        <f>Business_Event_Master!$E$23</f>
        <v/>
      </c>
      <c r="K23" s="88">
        <f>IF(Business_Event_Master!$W$23="Approved",REPT("█",MAX(0,MIN('Control Panel'!$B$11,Business_Event_Master!$Z$23)-MAX('Control Panel'!$B$9,Business_Event_Master!$Y$23)+1)),"")</f>
        <v/>
      </c>
    </row>
    <row r="24">
      <c r="A24" s="56">
        <f>Business_Event_Master!$B$24</f>
        <v/>
      </c>
      <c r="B24" s="31">
        <f>Business_Event_Master!$G$24</f>
        <v/>
      </c>
      <c r="C24" s="31">
        <f>Business_Event_Master!$F$24</f>
        <v/>
      </c>
      <c r="D24" s="31">
        <f>Business_Event_Master!$N$24</f>
        <v/>
      </c>
      <c r="E24" s="31">
        <f>Business_Event_Master!$J$24</f>
        <v/>
      </c>
      <c r="F24" s="31">
        <f>Business_Event_Master!$V$24</f>
        <v/>
      </c>
      <c r="G24" s="31">
        <f>Business_Event_Master!$W$24</f>
        <v/>
      </c>
      <c r="H24" s="14">
        <f>Business_Event_Master!$AM$24</f>
        <v/>
      </c>
      <c r="I24" s="31">
        <f>Business_Event_Master!$D$24</f>
        <v/>
      </c>
      <c r="J24" s="31">
        <f>Business_Event_Master!$E$24</f>
        <v/>
      </c>
      <c r="K24" s="88">
        <f>IF(Business_Event_Master!$W$24="Approved",REPT("█",MAX(0,MIN('Control Panel'!$B$11,Business_Event_Master!$Z$24)-MAX('Control Panel'!$B$9,Business_Event_Master!$Y$24)+1)),"")</f>
        <v/>
      </c>
    </row>
  </sheetData>
  <mergeCells count="2">
    <mergeCell ref="A2:K2"/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4" customWidth="1" min="3" max="3"/>
    <col width="12" customWidth="1" min="4" max="4"/>
    <col width="17" customWidth="1" min="5" max="5"/>
    <col width="10" customWidth="1" min="6" max="6"/>
    <col width="11" customWidth="1" min="7" max="7"/>
    <col width="11" customWidth="1" min="8" max="8"/>
    <col width="15" customWidth="1" min="9" max="9"/>
    <col width="16" customWidth="1" min="10" max="10"/>
    <col width="15" customWidth="1" min="11" max="11"/>
    <col width="10" customWidth="1" min="12" max="12"/>
  </cols>
  <sheetData>
    <row r="1" ht="26" customHeight="1">
      <c r="A1" s="1" t="inlineStr">
        <is>
          <t>EVENT SIMULATOR  ·  what-if scenarios (instant, does not touch the plan)</t>
        </is>
      </c>
    </row>
    <row r="2">
      <c r="A2" s="12" t="inlineStr">
        <is>
          <t>Type a hypothetical event and see the incremental demand vs baseline immediately. These rows are NOT gated by approval — they are pure what-ifs.</t>
        </is>
      </c>
    </row>
    <row r="3" ht="28" customHeight="1">
      <c r="A3" s="5" t="inlineStr">
        <is>
          <t>What-if scenario</t>
        </is>
      </c>
      <c r="B3" s="5" t="inlineStr">
        <is>
          <t>Chain</t>
        </is>
      </c>
      <c r="C3" s="5" t="inlineStr">
        <is>
          <t>Brand</t>
        </is>
      </c>
      <c r="D3" s="5" t="inlineStr">
        <is>
          <t>Category</t>
        </is>
      </c>
      <c r="E3" s="5" t="inlineStr">
        <is>
          <t>Method</t>
        </is>
      </c>
      <c r="F3" s="5" t="inlineStr">
        <is>
          <t>Uplift %</t>
        </is>
      </c>
      <c r="G3" s="5" t="inlineStr">
        <is>
          <t>New Stores</t>
        </is>
      </c>
      <c r="H3" s="5" t="inlineStr">
        <is>
          <t>Units/Store</t>
        </is>
      </c>
      <c r="I3" s="5" t="inlineStr">
        <is>
          <t>Baseline M (₹Cr)</t>
        </is>
      </c>
      <c r="J3" s="5" t="inlineStr">
        <is>
          <t>Simulated Incr (₹Cr)</t>
        </is>
      </c>
      <c r="K3" s="5" t="inlineStr">
        <is>
          <t>New Total (₹Cr)</t>
        </is>
      </c>
      <c r="L3" s="5" t="inlineStr">
        <is>
          <t>Change %</t>
        </is>
      </c>
    </row>
    <row r="4">
      <c r="A4" s="56" t="inlineStr">
        <is>
          <t>What if Reliance launches 150 new stores?</t>
        </is>
      </c>
      <c r="B4" s="58" t="inlineStr">
        <is>
          <t>Reliance Retail</t>
        </is>
      </c>
      <c r="C4" s="58" t="inlineStr">
        <is>
          <t>Mamaearth</t>
        </is>
      </c>
      <c r="D4" s="58" t="inlineStr">
        <is>
          <t>Face</t>
        </is>
      </c>
      <c r="E4" s="58" t="inlineStr">
        <is>
          <t>Distribution Gain</t>
        </is>
      </c>
      <c r="F4" s="33" t="n"/>
      <c r="G4" s="89" t="n">
        <v>150</v>
      </c>
      <c r="H4" s="89" t="n">
        <v>8</v>
      </c>
      <c r="I4" s="14">
        <f>SUMIFS('Forecast Engine'!$AK$4:$AK$12,'Forecast Engine'!$A$4:$A$12,$C4,'Forecast Engine'!$B$4:$B$12,$D4)</f>
        <v/>
      </c>
      <c r="J4" s="90">
        <f>IF($E4="Distribution Gain",$G4*$H4*'Event Settings'!$B$4/10000000,IF($E4="Fixed Qty",$G4*'Event Settings'!$B$4/10000000,I4*$F4))</f>
        <v/>
      </c>
      <c r="K4" s="35">
        <f>I4+J4</f>
        <v/>
      </c>
      <c r="L4" s="16">
        <f>IFERROR(J4/I4,0)</f>
        <v/>
      </c>
    </row>
    <row r="5">
      <c r="A5" s="56" t="inlineStr">
        <is>
          <t>What if Apollo runs a Buy-2-Get-1 (BOGO)?</t>
        </is>
      </c>
      <c r="B5" s="58" t="inlineStr">
        <is>
          <t>Apollo</t>
        </is>
      </c>
      <c r="C5" s="58" t="inlineStr">
        <is>
          <t>The Derma Co.</t>
        </is>
      </c>
      <c r="D5" s="58" t="inlineStr">
        <is>
          <t>Face</t>
        </is>
      </c>
      <c r="E5" s="58" t="inlineStr">
        <is>
          <t>Percentage</t>
        </is>
      </c>
      <c r="F5" s="33" t="n">
        <v>0.18</v>
      </c>
      <c r="G5" s="89" t="n"/>
      <c r="H5" s="89" t="n"/>
      <c r="I5" s="14">
        <f>SUMIFS('Forecast Engine'!$AK$4:$AK$12,'Forecast Engine'!$A$4:$A$12,$C5,'Forecast Engine'!$B$4:$B$12,$D5)</f>
        <v/>
      </c>
      <c r="J5" s="90">
        <f>IF($E5="Distribution Gain",$G5*$H5*'Event Settings'!$B$4/10000000,IF($E5="Fixed Qty",$G5*'Event Settings'!$B$4/10000000,I5*$F5))</f>
        <v/>
      </c>
      <c r="K5" s="35">
        <f>I5+J5</f>
        <v/>
      </c>
      <c r="L5" s="16">
        <f>IFERROR(J5/I5,0)</f>
        <v/>
      </c>
    </row>
    <row r="6">
      <c r="A6" s="56" t="inlineStr">
        <is>
          <t>What if we deploy 20% more visibility in South?</t>
        </is>
      </c>
      <c r="B6" s="58" t="inlineStr">
        <is>
          <t>More Retail</t>
        </is>
      </c>
      <c r="C6" s="58" t="inlineStr">
        <is>
          <t>Aqualogica</t>
        </is>
      </c>
      <c r="D6" s="58" t="inlineStr">
        <is>
          <t>Face</t>
        </is>
      </c>
      <c r="E6" s="58" t="inlineStr">
        <is>
          <t>Percentage</t>
        </is>
      </c>
      <c r="F6" s="33" t="n">
        <v>0.12</v>
      </c>
      <c r="G6" s="89" t="n"/>
      <c r="H6" s="89" t="n"/>
      <c r="I6" s="14">
        <f>SUMIFS('Forecast Engine'!$AK$4:$AK$12,'Forecast Engine'!$A$4:$A$12,$C6,'Forecast Engine'!$B$4:$B$12,$D6)</f>
        <v/>
      </c>
      <c r="J6" s="90">
        <f>IF($E6="Distribution Gain",$G6*$H6*'Event Settings'!$B$4/10000000,IF($E6="Fixed Qty",$G6*'Event Settings'!$B$4/10000000,I6*$F6))</f>
        <v/>
      </c>
      <c r="K6" s="35">
        <f>I6+J6</f>
        <v/>
      </c>
      <c r="L6" s="16">
        <f>IFERROR(J6/I6,0)</f>
        <v/>
      </c>
    </row>
    <row r="7">
      <c r="A7" s="56" t="inlineStr">
        <is>
          <t>What if we run a summer sunscreen push at D-Mart?</t>
        </is>
      </c>
      <c r="B7" s="58" t="inlineStr">
        <is>
          <t>D-Mart</t>
        </is>
      </c>
      <c r="C7" s="58" t="inlineStr">
        <is>
          <t>Mamaearth</t>
        </is>
      </c>
      <c r="D7" s="58" t="inlineStr">
        <is>
          <t>Face</t>
        </is>
      </c>
      <c r="E7" s="58" t="inlineStr">
        <is>
          <t>Percentage</t>
        </is>
      </c>
      <c r="F7" s="33" t="n">
        <v>0.2</v>
      </c>
      <c r="G7" s="89" t="n"/>
      <c r="H7" s="89" t="n"/>
      <c r="I7" s="14">
        <f>SUMIFS('Forecast Engine'!$AK$4:$AK$12,'Forecast Engine'!$A$4:$A$12,$C7,'Forecast Engine'!$B$4:$B$12,$D7)</f>
        <v/>
      </c>
      <c r="J7" s="90">
        <f>IF($E7="Distribution Gain",$G7*$H7*'Event Settings'!$B$4/10000000,IF($E7="Fixed Qty",$G7*'Event Settings'!$B$4/10000000,I7*$F7))</f>
        <v/>
      </c>
      <c r="K7" s="35">
        <f>I7+J7</f>
        <v/>
      </c>
      <c r="L7" s="16">
        <f>IFERROR(J7/I7,0)</f>
        <v/>
      </c>
    </row>
  </sheetData>
  <mergeCells count="2">
    <mergeCell ref="A2:K2"/>
    <mergeCell ref="A1:K1"/>
  </mergeCells>
  <dataValidations count="1">
    <dataValidation sqref="E4:E7" showDropDown="0" showInputMessage="0" showErrorMessage="0" allowBlank="1" type="list">
      <formula1>"Percentage,Fixed Qty,Distribution Gain"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6" customWidth="1" min="3" max="3"/>
    <col width="14" customWidth="1" min="4" max="4"/>
    <col width="30" customWidth="1" min="5" max="5"/>
  </cols>
  <sheetData>
    <row r="1" ht="26" customHeight="1">
      <c r="A1" s="1" t="inlineStr">
        <is>
          <t>CHAIN EVENT LIBRARY  ·  historical uplift by chain × event type (editable)</t>
        </is>
      </c>
    </row>
    <row r="2">
      <c r="A2" s="12" t="inlineStr">
        <is>
          <t>Different chains respond differently to the same activity. The event engine looks up these historical uplifts when an event row has no explicit Expected Uplift %.</t>
        </is>
      </c>
    </row>
    <row r="3" ht="28" customHeight="1">
      <c r="A3" s="5" t="inlineStr">
        <is>
          <t>Chain</t>
        </is>
      </c>
      <c r="B3" s="5" t="inlineStr">
        <is>
          <t>Event Type</t>
        </is>
      </c>
      <c r="C3" s="5" t="inlineStr">
        <is>
          <t>Historical Uplift %</t>
        </is>
      </c>
      <c r="D3" s="5" t="inlineStr">
        <is>
          <t>Confidence %</t>
        </is>
      </c>
      <c r="E3" s="5" t="inlineStr">
        <is>
          <t>Key</t>
        </is>
      </c>
    </row>
    <row r="4">
      <c r="A4" s="13" t="inlineStr">
        <is>
          <t>Reliance Retail</t>
        </is>
      </c>
      <c r="B4" s="13" t="inlineStr">
        <is>
          <t>Endcap</t>
        </is>
      </c>
      <c r="C4" s="84" t="n">
        <v>0.15</v>
      </c>
      <c r="D4" s="84" t="n">
        <v>0.9399999999999999</v>
      </c>
      <c r="E4" s="91">
        <f>$A4&amp;"|"&amp;$B4</f>
        <v/>
      </c>
    </row>
    <row r="5">
      <c r="A5" s="13" t="inlineStr">
        <is>
          <t>Reliance Retail</t>
        </is>
      </c>
      <c r="B5" s="13" t="inlineStr">
        <is>
          <t>Power Wing</t>
        </is>
      </c>
      <c r="C5" s="84" t="n">
        <v>0.18</v>
      </c>
      <c r="D5" s="84" t="n">
        <v>0.92</v>
      </c>
      <c r="E5" s="91">
        <f>$A5&amp;"|"&amp;$B5</f>
        <v/>
      </c>
    </row>
    <row r="6">
      <c r="A6" s="13" t="inlineStr">
        <is>
          <t>Reliance Retail</t>
        </is>
      </c>
      <c r="B6" s="13" t="inlineStr">
        <is>
          <t>NPI Launch</t>
        </is>
      </c>
      <c r="C6" s="84" t="n">
        <v>0.22</v>
      </c>
      <c r="D6" s="84" t="n">
        <v>0.85</v>
      </c>
      <c r="E6" s="91">
        <f>$A6&amp;"|"&amp;$B6</f>
        <v/>
      </c>
    </row>
    <row r="7">
      <c r="A7" s="13" t="inlineStr">
        <is>
          <t>Reliance Retail</t>
        </is>
      </c>
      <c r="B7" s="13" t="inlineStr">
        <is>
          <t>Digital Campaign</t>
        </is>
      </c>
      <c r="C7" s="84" t="n">
        <v>0.12</v>
      </c>
      <c r="D7" s="84" t="n">
        <v>0.75</v>
      </c>
      <c r="E7" s="91">
        <f>$A7&amp;"|"&amp;$B7</f>
        <v/>
      </c>
    </row>
    <row r="8">
      <c r="A8" s="13" t="inlineStr">
        <is>
          <t>Reliance Retail</t>
        </is>
      </c>
      <c r="B8" s="13" t="inlineStr">
        <is>
          <t>Price Drop</t>
        </is>
      </c>
      <c r="C8" s="84" t="n">
        <v>0.1</v>
      </c>
      <c r="D8" s="84" t="n">
        <v>0.88</v>
      </c>
      <c r="E8" s="91">
        <f>$A8&amp;"|"&amp;$B8</f>
        <v/>
      </c>
    </row>
    <row r="9">
      <c r="A9" s="13" t="inlineStr">
        <is>
          <t>Reliance Retail</t>
        </is>
      </c>
      <c r="B9" s="13" t="inlineStr">
        <is>
          <t>Seasonal Push</t>
        </is>
      </c>
      <c r="C9" s="84" t="n">
        <v>0.15</v>
      </c>
      <c r="D9" s="84" t="n">
        <v>0.82</v>
      </c>
      <c r="E9" s="91">
        <f>$A9&amp;"|"&amp;$B9</f>
        <v/>
      </c>
    </row>
    <row r="10">
      <c r="A10" s="13" t="inlineStr">
        <is>
          <t>Apollo</t>
        </is>
      </c>
      <c r="B10" s="13" t="inlineStr">
        <is>
          <t>Endcap</t>
        </is>
      </c>
      <c r="C10" s="84" t="n">
        <v>0.08</v>
      </c>
      <c r="D10" s="84" t="n">
        <v>0.9</v>
      </c>
      <c r="E10" s="91">
        <f>$A10&amp;"|"&amp;$B10</f>
        <v/>
      </c>
    </row>
    <row r="11">
      <c r="A11" s="13" t="inlineStr">
        <is>
          <t>Apollo</t>
        </is>
      </c>
      <c r="B11" s="13" t="inlineStr">
        <is>
          <t>BOGO</t>
        </is>
      </c>
      <c r="C11" s="84" t="n">
        <v>0.13</v>
      </c>
      <c r="D11" s="84" t="n">
        <v>0.88</v>
      </c>
      <c r="E11" s="91">
        <f>$A11&amp;"|"&amp;$B11</f>
        <v/>
      </c>
    </row>
    <row r="12">
      <c r="A12" s="13" t="inlineStr">
        <is>
          <t>Apollo</t>
        </is>
      </c>
      <c r="B12" s="13" t="inlineStr">
        <is>
          <t>Visibility Campaign</t>
        </is>
      </c>
      <c r="C12" s="84" t="n">
        <v>0.09</v>
      </c>
      <c r="D12" s="84" t="n">
        <v>0.85</v>
      </c>
      <c r="E12" s="91">
        <f>$A12&amp;"|"&amp;$B12</f>
        <v/>
      </c>
    </row>
    <row r="13">
      <c r="A13" s="13" t="inlineStr">
        <is>
          <t>D-Mart</t>
        </is>
      </c>
      <c r="B13" s="13" t="inlineStr">
        <is>
          <t>Endcap</t>
        </is>
      </c>
      <c r="C13" s="84" t="n">
        <v>0.06</v>
      </c>
      <c r="D13" s="84" t="n">
        <v>0.9</v>
      </c>
      <c r="E13" s="91">
        <f>$A13&amp;"|"&amp;$B13</f>
        <v/>
      </c>
    </row>
    <row r="14">
      <c r="A14" s="13" t="inlineStr">
        <is>
          <t>D-Mart</t>
        </is>
      </c>
      <c r="B14" s="13" t="inlineStr">
        <is>
          <t>Gondola</t>
        </is>
      </c>
      <c r="C14" s="84" t="n">
        <v>0.07000000000000001</v>
      </c>
      <c r="D14" s="84" t="n">
        <v>0.9</v>
      </c>
      <c r="E14" s="91">
        <f>$A14&amp;"|"&amp;$B14</f>
        <v/>
      </c>
    </row>
    <row r="15">
      <c r="A15" s="13" t="inlineStr">
        <is>
          <t>D-Mart</t>
        </is>
      </c>
      <c r="B15" s="13" t="inlineStr">
        <is>
          <t>Price Drop</t>
        </is>
      </c>
      <c r="C15" s="84" t="n">
        <v>0.09</v>
      </c>
      <c r="D15" s="84" t="n">
        <v>0.9</v>
      </c>
      <c r="E15" s="91">
        <f>$A15&amp;"|"&amp;$B15</f>
        <v/>
      </c>
    </row>
    <row r="16">
      <c r="A16" s="13" t="inlineStr">
        <is>
          <t>More Retail</t>
        </is>
      </c>
      <c r="B16" s="13" t="inlineStr">
        <is>
          <t>Endcap</t>
        </is>
      </c>
      <c r="C16" s="84" t="n">
        <v>0.12</v>
      </c>
      <c r="D16" s="84" t="n">
        <v>0.88</v>
      </c>
      <c r="E16" s="91">
        <f>$A16&amp;"|"&amp;$B16</f>
        <v/>
      </c>
    </row>
    <row r="17">
      <c r="A17" s="13" t="inlineStr">
        <is>
          <t>More Retail</t>
        </is>
      </c>
      <c r="B17" s="13" t="inlineStr">
        <is>
          <t>Gondola</t>
        </is>
      </c>
      <c r="C17" s="84" t="n">
        <v>0.1</v>
      </c>
      <c r="D17" s="84" t="n">
        <v>0.88</v>
      </c>
      <c r="E17" s="91">
        <f>$A17&amp;"|"&amp;$B17</f>
        <v/>
      </c>
    </row>
    <row r="18">
      <c r="A18" s="13" t="inlineStr">
        <is>
          <t>Health &amp; Glow</t>
        </is>
      </c>
      <c r="B18" s="13" t="inlineStr">
        <is>
          <t>SIS</t>
        </is>
      </c>
      <c r="C18" s="84" t="n">
        <v>0.16</v>
      </c>
      <c r="D18" s="84" t="n">
        <v>0.86</v>
      </c>
      <c r="E18" s="91">
        <f>$A18&amp;"|"&amp;$B18</f>
        <v/>
      </c>
    </row>
    <row r="19">
      <c r="A19" s="13" t="inlineStr">
        <is>
          <t>Nykaa SS(fsn)</t>
        </is>
      </c>
      <c r="B19" s="13" t="inlineStr">
        <is>
          <t>Digital Campaign</t>
        </is>
      </c>
      <c r="C19" s="84" t="n">
        <v>0.2</v>
      </c>
      <c r="D19" s="84" t="n">
        <v>0.8</v>
      </c>
      <c r="E19" s="91">
        <f>$A19&amp;"|"&amp;$B19</f>
        <v/>
      </c>
    </row>
  </sheetData>
  <mergeCells count="2">
    <mergeCell ref="A2:E2"/>
    <mergeCell ref="A1:E1"/>
  </mergeCells>
  <dataValidations count="1">
    <dataValidation sqref="B4:B19" showDropDown="0" showInputMessage="0" showErrorMessage="0" allowBlank="1" type="list">
      <formula1>'Event Settings'!$G$3:$G$31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20" customWidth="1" min="4" max="4"/>
    <col width="30" customWidth="1" min="5" max="5"/>
  </cols>
  <sheetData>
    <row r="1" ht="26" customHeight="1">
      <c r="A1" s="1" t="inlineStr">
        <is>
          <t>ARTICLE / CATEGORY EVENT LIBRARY  ·  uplift by category × event type (editable)</t>
        </is>
      </c>
    </row>
    <row r="2">
      <c r="A2" s="12" t="inlineStr">
        <is>
          <t>Products respond differently. Used as a fallback when the chain library has no match.</t>
        </is>
      </c>
    </row>
    <row r="3" ht="28" customHeight="1">
      <c r="A3" s="5" t="inlineStr">
        <is>
          <t>Category</t>
        </is>
      </c>
      <c r="B3" s="5" t="inlineStr">
        <is>
          <t>Event Type</t>
        </is>
      </c>
      <c r="C3" s="5" t="inlineStr">
        <is>
          <t>Uplift %</t>
        </is>
      </c>
      <c r="D3" s="5" t="inlineStr">
        <is>
          <t>Season</t>
        </is>
      </c>
      <c r="E3" s="5" t="inlineStr">
        <is>
          <t>Key</t>
        </is>
      </c>
    </row>
    <row r="4">
      <c r="A4" s="13" t="inlineStr">
        <is>
          <t>Face</t>
        </is>
      </c>
      <c r="B4" s="13" t="inlineStr">
        <is>
          <t>Seasonal Push</t>
        </is>
      </c>
      <c r="C4" s="84" t="n">
        <v>0.35</v>
      </c>
      <c r="D4" s="13" t="inlineStr">
        <is>
          <t>Summer (sunscreen)</t>
        </is>
      </c>
      <c r="E4" s="91">
        <f>$A4&amp;"|"&amp;$B4</f>
        <v/>
      </c>
    </row>
    <row r="5">
      <c r="A5" s="13" t="inlineStr">
        <is>
          <t>Face</t>
        </is>
      </c>
      <c r="B5" s="13" t="inlineStr">
        <is>
          <t>BOGO</t>
        </is>
      </c>
      <c r="C5" s="84" t="n">
        <v>0.18</v>
      </c>
      <c r="D5" s="13" t="inlineStr">
        <is>
          <t>All year</t>
        </is>
      </c>
      <c r="E5" s="91">
        <f>$A5&amp;"|"&amp;$B5</f>
        <v/>
      </c>
    </row>
    <row r="6">
      <c r="A6" s="13" t="inlineStr">
        <is>
          <t>Face</t>
        </is>
      </c>
      <c r="B6" s="13" t="inlineStr">
        <is>
          <t>Visibility Campaign</t>
        </is>
      </c>
      <c r="C6" s="84" t="n">
        <v>0.14</v>
      </c>
      <c r="D6" s="13" t="inlineStr">
        <is>
          <t>All year</t>
        </is>
      </c>
      <c r="E6" s="91">
        <f>$A6&amp;"|"&amp;$B6</f>
        <v/>
      </c>
    </row>
    <row r="7">
      <c r="A7" s="13" t="inlineStr">
        <is>
          <t>Face</t>
        </is>
      </c>
      <c r="B7" s="13" t="inlineStr">
        <is>
          <t>NPI Launch</t>
        </is>
      </c>
      <c r="C7" s="84" t="n">
        <v>0.25</v>
      </c>
      <c r="D7" s="13" t="inlineStr">
        <is>
          <t>All year</t>
        </is>
      </c>
      <c r="E7" s="91">
        <f>$A7&amp;"|"&amp;$B7</f>
        <v/>
      </c>
    </row>
    <row r="8">
      <c r="A8" s="13" t="inlineStr">
        <is>
          <t>Body</t>
        </is>
      </c>
      <c r="B8" s="13" t="inlineStr">
        <is>
          <t>Seasonal Push</t>
        </is>
      </c>
      <c r="C8" s="84" t="n">
        <v>0.28</v>
      </c>
      <c r="D8" s="13" t="inlineStr">
        <is>
          <t>Winter</t>
        </is>
      </c>
      <c r="E8" s="91">
        <f>$A8&amp;"|"&amp;$B8</f>
        <v/>
      </c>
    </row>
    <row r="9">
      <c r="A9" s="13" t="inlineStr">
        <is>
          <t>Body</t>
        </is>
      </c>
      <c r="B9" s="13" t="inlineStr">
        <is>
          <t>Combo Pack</t>
        </is>
      </c>
      <c r="C9" s="84" t="n">
        <v>0.16</v>
      </c>
      <c r="D9" s="13" t="inlineStr">
        <is>
          <t>Winter</t>
        </is>
      </c>
      <c r="E9" s="91">
        <f>$A9&amp;"|"&amp;$B9</f>
        <v/>
      </c>
    </row>
    <row r="10">
      <c r="A10" s="13" t="inlineStr">
        <is>
          <t>Hair</t>
        </is>
      </c>
      <c r="B10" s="13" t="inlineStr">
        <is>
          <t>Visibility Campaign</t>
        </is>
      </c>
      <c r="C10" s="84" t="n">
        <v>0.12</v>
      </c>
      <c r="D10" s="13" t="inlineStr">
        <is>
          <t>All year</t>
        </is>
      </c>
      <c r="E10" s="91">
        <f>$A10&amp;"|"&amp;$B10</f>
        <v/>
      </c>
    </row>
    <row r="11">
      <c r="A11" s="13" t="inlineStr">
        <is>
          <t>Hair</t>
        </is>
      </c>
      <c r="B11" s="13" t="inlineStr">
        <is>
          <t>Gondola</t>
        </is>
      </c>
      <c r="C11" s="84" t="n">
        <v>0.1</v>
      </c>
      <c r="D11" s="13" t="inlineStr">
        <is>
          <t>All year</t>
        </is>
      </c>
      <c r="E11" s="91">
        <f>$A11&amp;"|"&amp;$B11</f>
        <v/>
      </c>
    </row>
    <row r="12">
      <c r="A12" s="13" t="inlineStr">
        <is>
          <t>Baby</t>
        </is>
      </c>
      <c r="B12" s="13" t="inlineStr">
        <is>
          <t>Retail Festival</t>
        </is>
      </c>
      <c r="C12" s="84" t="n">
        <v>0.15</v>
      </c>
      <c r="D12" s="13" t="inlineStr">
        <is>
          <t>Festive</t>
        </is>
      </c>
      <c r="E12" s="91">
        <f>$A12&amp;"|"&amp;$B12</f>
        <v/>
      </c>
    </row>
    <row r="13">
      <c r="A13" s="13" t="inlineStr">
        <is>
          <t>Fragrances</t>
        </is>
      </c>
      <c r="B13" s="13" t="inlineStr">
        <is>
          <t>Festival Promotion</t>
        </is>
      </c>
      <c r="C13" s="84" t="n">
        <v>0.3</v>
      </c>
      <c r="D13" s="13" t="inlineStr">
        <is>
          <t>Festive</t>
        </is>
      </c>
      <c r="E13" s="91">
        <f>$A13&amp;"|"&amp;$B13</f>
        <v/>
      </c>
    </row>
  </sheetData>
  <mergeCells count="2">
    <mergeCell ref="A2:E2"/>
    <mergeCell ref="A1:E1"/>
  </mergeCells>
  <dataValidations count="1">
    <dataValidation sqref="B4:B13" showDropDown="0" showInputMessage="0" showErrorMessage="0" allowBlank="1" type="list">
      <formula1>'Event Settings'!$G$3:$G$31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18" customWidth="1" min="4" max="4"/>
    <col width="13" customWidth="1" min="5" max="5"/>
    <col width="14" customWidth="1" min="6" max="6"/>
    <col width="16" customWidth="1" min="7" max="7"/>
    <col width="18" customWidth="1" min="8" max="8"/>
  </cols>
  <sheetData>
    <row r="1" ht="26" customHeight="1">
      <c r="A1" s="1" t="inlineStr">
        <is>
          <t>DEMAND DRIVER LIBRARY  ·  reusable planning objects with historical learning</t>
        </is>
      </c>
    </row>
    <row r="2">
      <c r="A2" s="12" t="inlineStr">
        <is>
          <t>Every event becomes a reusable object. 'Recommended Uplift' blends the historical average with the last-3-events average — the planner can accept, modify or reject it. This is the AI-assisted layer (à la SAP IBP / Kinaxis / Blue Yonder).</t>
        </is>
      </c>
    </row>
    <row r="3" ht="28" customHeight="1">
      <c r="A3" s="5" t="inlineStr">
        <is>
          <t>Chain</t>
        </is>
      </c>
      <c r="B3" s="5" t="inlineStr">
        <is>
          <t>Article / SKU</t>
        </is>
      </c>
      <c r="C3" s="5" t="inlineStr">
        <is>
          <t>Event</t>
        </is>
      </c>
      <c r="D3" s="5" t="inlineStr">
        <is>
          <t>Historical Avg Uplift %</t>
        </is>
      </c>
      <c r="E3" s="5" t="inlineStr">
        <is>
          <t>Confidence %</t>
        </is>
      </c>
      <c r="F3" s="5" t="inlineStr">
        <is>
          <t>Season</t>
        </is>
      </c>
      <c r="G3" s="5" t="inlineStr">
        <is>
          <t>Last 3 Events Avg %</t>
        </is>
      </c>
      <c r="H3" s="5" t="inlineStr">
        <is>
          <t>Recommended Uplift %</t>
        </is>
      </c>
    </row>
    <row r="4">
      <c r="A4" s="13" t="inlineStr">
        <is>
          <t>Reliance Retail</t>
        </is>
      </c>
      <c r="B4" s="13" t="inlineStr">
        <is>
          <t>TDC Sunscreen 80g</t>
        </is>
      </c>
      <c r="C4" s="13" t="inlineStr">
        <is>
          <t>Endcap</t>
        </is>
      </c>
      <c r="D4" s="84" t="n">
        <v>0.16</v>
      </c>
      <c r="E4" s="84" t="n">
        <v>0.9399999999999999</v>
      </c>
      <c r="F4" s="13" t="inlineStr">
        <is>
          <t>Summer</t>
        </is>
      </c>
      <c r="G4" s="84" t="n">
        <v>0.172</v>
      </c>
      <c r="H4" s="92">
        <f>ROUND((D4+G4)/2,3)</f>
        <v/>
      </c>
    </row>
    <row r="5">
      <c r="A5" s="13" t="inlineStr">
        <is>
          <t>Apollo</t>
        </is>
      </c>
      <c r="B5" s="13" t="inlineStr">
        <is>
          <t>Face Wash 100ml</t>
        </is>
      </c>
      <c r="C5" s="13" t="inlineStr">
        <is>
          <t>BOGO</t>
        </is>
      </c>
      <c r="D5" s="84" t="n">
        <v>0.13</v>
      </c>
      <c r="E5" s="84" t="n">
        <v>0.88</v>
      </c>
      <c r="F5" s="13" t="inlineStr">
        <is>
          <t>All Year</t>
        </is>
      </c>
      <c r="G5" s="84" t="n">
        <v>0.125</v>
      </c>
      <c r="H5" s="92">
        <f>ROUND((D5+G5)/2,3)</f>
        <v/>
      </c>
    </row>
    <row r="6">
      <c r="A6" s="13" t="inlineStr">
        <is>
          <t>D-Mart</t>
        </is>
      </c>
      <c r="B6" s="13" t="inlineStr">
        <is>
          <t>Hair Oil 200ml</t>
        </is>
      </c>
      <c r="C6" s="13" t="inlineStr">
        <is>
          <t>Gondola</t>
        </is>
      </c>
      <c r="D6" s="84" t="n">
        <v>0.08</v>
      </c>
      <c r="E6" s="84" t="n">
        <v>0.9</v>
      </c>
      <c r="F6" s="13" t="inlineStr">
        <is>
          <t>Winter</t>
        </is>
      </c>
      <c r="G6" s="84" t="n">
        <v>0.08400000000000001</v>
      </c>
      <c r="H6" s="92">
        <f>ROUND((D6+G6)/2,3)</f>
        <v/>
      </c>
    </row>
    <row r="7">
      <c r="A7" s="13" t="inlineStr">
        <is>
          <t>Reliance Retail</t>
        </is>
      </c>
      <c r="B7" s="13" t="inlineStr">
        <is>
          <t>Mamaearth Sunscreen 50g</t>
        </is>
      </c>
      <c r="C7" s="13" t="inlineStr">
        <is>
          <t>Power Wing</t>
        </is>
      </c>
      <c r="D7" s="84" t="n">
        <v>0.18</v>
      </c>
      <c r="E7" s="84" t="n">
        <v>0.92</v>
      </c>
      <c r="F7" s="13" t="inlineStr">
        <is>
          <t>Summer</t>
        </is>
      </c>
      <c r="G7" s="84" t="n">
        <v>0.19</v>
      </c>
      <c r="H7" s="92">
        <f>ROUND((D7+G7)/2,3)</f>
        <v/>
      </c>
    </row>
    <row r="8">
      <c r="A8" s="13" t="inlineStr">
        <is>
          <t>More Retail</t>
        </is>
      </c>
      <c r="B8" s="13" t="inlineStr">
        <is>
          <t>Aqualogica Face Wash</t>
        </is>
      </c>
      <c r="C8" s="13" t="inlineStr">
        <is>
          <t>Endcap</t>
        </is>
      </c>
      <c r="D8" s="84" t="n">
        <v>0.12</v>
      </c>
      <c r="E8" s="84" t="n">
        <v>0.88</v>
      </c>
      <c r="F8" s="13" t="inlineStr">
        <is>
          <t>All Year</t>
        </is>
      </c>
      <c r="G8" s="84" t="n">
        <v>0.118</v>
      </c>
      <c r="H8" s="92">
        <f>ROUND((D8+G8)/2,3)</f>
        <v/>
      </c>
    </row>
    <row r="9">
      <c r="A9" s="13" t="inlineStr">
        <is>
          <t>Nykaa SS(fsn)</t>
        </is>
      </c>
      <c r="B9" s="13" t="inlineStr">
        <is>
          <t>TDC Serum 30ml</t>
        </is>
      </c>
      <c r="C9" s="13" t="inlineStr">
        <is>
          <t>Digital Campaign</t>
        </is>
      </c>
      <c r="D9" s="84" t="n">
        <v>0.2</v>
      </c>
      <c r="E9" s="84" t="n">
        <v>0.8</v>
      </c>
      <c r="F9" s="13" t="inlineStr">
        <is>
          <t>All Year</t>
        </is>
      </c>
      <c r="G9" s="84" t="n">
        <v>0.205</v>
      </c>
      <c r="H9" s="92">
        <f>ROUND((D9+G9)/2,3)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52" customWidth="1" min="3" max="3"/>
    <col width="24" customWidth="1" min="7" max="7"/>
  </cols>
  <sheetData>
    <row r="1" ht="26" customHeight="1">
      <c r="A1" s="1" t="inlineStr">
        <is>
          <t>EVENT SETTINGS  ·  central, editable assumptions for the event engine</t>
        </is>
      </c>
    </row>
    <row r="2">
      <c r="A2" s="12" t="inlineStr">
        <is>
          <t>All event uplift assumptions are maintained centrally here. Blue cells are editable.</t>
        </is>
      </c>
      <c r="G2" s="93" t="inlineStr">
        <is>
          <t>Event Type list</t>
        </is>
      </c>
    </row>
    <row r="3">
      <c r="A3" s="12" t="inlineStr">
        <is>
          <t>1 · Conversion &amp; margin</t>
        </is>
      </c>
      <c r="G3" s="94" t="inlineStr">
        <is>
          <t>NPI Launch</t>
        </is>
      </c>
    </row>
    <row r="4">
      <c r="A4" s="20" t="inlineStr">
        <is>
          <t>Realisation (₹ per unit)</t>
        </is>
      </c>
      <c r="B4" s="21" t="n">
        <v>169</v>
      </c>
      <c r="C4" s="22" t="inlineStr">
        <is>
          <t>real portfolio avg primary NSV ÷ units; used for unit↔value conversion</t>
        </is>
      </c>
      <c r="G4" s="94" t="inlineStr">
        <is>
          <t>Product Relaunch</t>
        </is>
      </c>
    </row>
    <row r="5">
      <c r="A5" s="20" t="inlineStr">
        <is>
          <t>Gross margin % (for incremental margin)</t>
        </is>
      </c>
      <c r="B5" s="24" t="n">
        <v>0.52</v>
      </c>
      <c r="G5" s="94" t="inlineStr">
        <is>
          <t>New Listing</t>
        </is>
      </c>
    </row>
    <row r="6">
      <c r="A6" s="20" t="inlineStr">
        <is>
          <t>Inventory cover (months of incremental)</t>
        </is>
      </c>
      <c r="B6" s="27" t="n">
        <v>1</v>
      </c>
      <c r="G6" s="94" t="inlineStr">
        <is>
          <t>Distribution Expansion</t>
        </is>
      </c>
    </row>
    <row r="7">
      <c r="A7" s="20" t="inlineStr">
        <is>
          <t>Combination rule</t>
        </is>
      </c>
      <c r="B7" s="21" t="inlineStr">
        <is>
          <t>Multiplicative</t>
        </is>
      </c>
      <c r="C7" s="22" t="inlineStr">
        <is>
          <t>overlapping % events combine multiplicatively: 1−Π(1+uᵢ) not simple sum</t>
        </is>
      </c>
      <c r="G7" s="94" t="inlineStr">
        <is>
          <t>Store Expansion</t>
        </is>
      </c>
    </row>
    <row r="8">
      <c r="G8" s="94" t="inlineStr">
        <is>
          <t>Visibility Campaign</t>
        </is>
      </c>
    </row>
    <row r="9">
      <c r="A9" s="12" t="inlineStr">
        <is>
          <t>2 · Event Priority weights</t>
        </is>
      </c>
      <c r="G9" s="94" t="inlineStr">
        <is>
          <t>Endcap</t>
        </is>
      </c>
    </row>
    <row r="10" ht="28" customHeight="1">
      <c r="A10" s="3" t="inlineStr">
        <is>
          <t>Priority</t>
        </is>
      </c>
      <c r="B10" s="3" t="inlineStr">
        <is>
          <t>Weight</t>
        </is>
      </c>
      <c r="G10" s="94" t="inlineStr">
        <is>
          <t>Power Wing</t>
        </is>
      </c>
    </row>
    <row r="11">
      <c r="A11" s="13" t="inlineStr">
        <is>
          <t>Critical</t>
        </is>
      </c>
      <c r="B11" s="95" t="n">
        <v>1</v>
      </c>
      <c r="G11" s="94" t="inlineStr">
        <is>
          <t>Gondola</t>
        </is>
      </c>
    </row>
    <row r="12">
      <c r="A12" s="13" t="inlineStr">
        <is>
          <t>High</t>
        </is>
      </c>
      <c r="B12" s="95" t="n">
        <v>0.85</v>
      </c>
      <c r="G12" s="94" t="inlineStr">
        <is>
          <t>SIS</t>
        </is>
      </c>
    </row>
    <row r="13">
      <c r="A13" s="13" t="inlineStr">
        <is>
          <t>Medium</t>
        </is>
      </c>
      <c r="B13" s="95" t="n">
        <v>0.6</v>
      </c>
      <c r="G13" s="94" t="inlineStr">
        <is>
          <t>Counter Display</t>
        </is>
      </c>
    </row>
    <row r="14">
      <c r="A14" s="13" t="inlineStr">
        <is>
          <t>Low</t>
        </is>
      </c>
      <c r="B14" s="95" t="n">
        <v>0.35</v>
      </c>
      <c r="G14" s="94" t="inlineStr">
        <is>
          <t>Festival Promotion</t>
        </is>
      </c>
    </row>
    <row r="15">
      <c r="G15" s="94" t="inlineStr">
        <is>
          <t>BOGO</t>
        </is>
      </c>
    </row>
    <row r="16">
      <c r="A16" s="12" t="inlineStr">
        <is>
          <t>3 · NPI / structural Ramp-up curve (share of full effect by month-in-life)</t>
        </is>
      </c>
      <c r="G16" s="94" t="inlineStr">
        <is>
          <t>Price Drop</t>
        </is>
      </c>
    </row>
    <row r="17" ht="28" customHeight="1">
      <c r="A17" s="3" t="inlineStr">
        <is>
          <t>Month in life</t>
        </is>
      </c>
      <c r="B17" s="3" t="inlineStr">
        <is>
          <t>Ramp %</t>
        </is>
      </c>
      <c r="G17" s="94" t="inlineStr">
        <is>
          <t>Retail Festival</t>
        </is>
      </c>
    </row>
    <row r="18">
      <c r="A18" s="96" t="n">
        <v>1</v>
      </c>
      <c r="B18" s="97" t="n">
        <v>0.3</v>
      </c>
      <c r="G18" s="94" t="inlineStr">
        <is>
          <t>Digital Campaign</t>
        </is>
      </c>
    </row>
    <row r="19">
      <c r="A19" s="96" t="n">
        <v>2</v>
      </c>
      <c r="B19" s="97" t="n">
        <v>0.6</v>
      </c>
      <c r="G19" s="94" t="inlineStr">
        <is>
          <t>TV Campaign</t>
        </is>
      </c>
    </row>
    <row r="20">
      <c r="A20" s="96" t="n">
        <v>3</v>
      </c>
      <c r="B20" s="97" t="n">
        <v>0.85</v>
      </c>
      <c r="G20" s="94" t="inlineStr">
        <is>
          <t>Influencer Campaign</t>
        </is>
      </c>
    </row>
    <row r="21">
      <c r="A21" s="96" t="n">
        <v>4</v>
      </c>
      <c r="B21" s="97" t="n">
        <v>1</v>
      </c>
      <c r="G21" s="94" t="inlineStr">
        <is>
          <t>Consumer Offer</t>
        </is>
      </c>
    </row>
    <row r="22">
      <c r="A22" s="96" t="n">
        <v>5</v>
      </c>
      <c r="B22" s="97" t="n">
        <v>1</v>
      </c>
      <c r="G22" s="94" t="inlineStr">
        <is>
          <t>Sampling Activity</t>
        </is>
      </c>
    </row>
    <row r="23">
      <c r="A23" s="96" t="n">
        <v>6</v>
      </c>
      <c r="B23" s="97" t="n">
        <v>1</v>
      </c>
      <c r="G23" s="94" t="inlineStr">
        <is>
          <t>Bundle Promotion</t>
        </is>
      </c>
    </row>
    <row r="24">
      <c r="G24" s="94" t="inlineStr">
        <is>
          <t>Combo Pack</t>
        </is>
      </c>
    </row>
    <row r="25">
      <c r="A25" s="12" t="inlineStr">
        <is>
          <t>4 · Promotion effect decay (share of peak after the promo month)</t>
        </is>
      </c>
      <c r="G25" s="94" t="inlineStr">
        <is>
          <t>Seasonal Push</t>
        </is>
      </c>
    </row>
    <row r="26" ht="28" customHeight="1">
      <c r="A26" s="3" t="inlineStr">
        <is>
          <t>Months after peak</t>
        </is>
      </c>
      <c r="B26" s="3" t="inlineStr">
        <is>
          <t>Decay %</t>
        </is>
      </c>
      <c r="G26" s="94" t="inlineStr">
        <is>
          <t>New Warehouse Opening</t>
        </is>
      </c>
    </row>
    <row r="27">
      <c r="A27" s="96" t="n">
        <v>0</v>
      </c>
      <c r="B27" s="97" t="n">
        <v>1</v>
      </c>
      <c r="G27" s="94" t="inlineStr">
        <is>
          <t>New Distributor</t>
        </is>
      </c>
    </row>
    <row r="28">
      <c r="A28" s="96" t="n">
        <v>1</v>
      </c>
      <c r="B28" s="97" t="n">
        <v>0.5</v>
      </c>
      <c r="G28" s="94" t="inlineStr">
        <is>
          <t>Market Expansion</t>
        </is>
      </c>
    </row>
    <row r="29">
      <c r="A29" s="96" t="n">
        <v>2</v>
      </c>
      <c r="B29" s="97" t="n">
        <v>0.25</v>
      </c>
      <c r="G29" s="94" t="inlineStr">
        <is>
          <t>Export Order</t>
        </is>
      </c>
    </row>
    <row r="30">
      <c r="A30" s="96" t="n">
        <v>3</v>
      </c>
      <c r="B30" s="97" t="n">
        <v>0</v>
      </c>
      <c r="G30" s="94" t="inlineStr">
        <is>
          <t>Institutional Sales</t>
        </is>
      </c>
    </row>
    <row r="31">
      <c r="G31" s="94" t="inlineStr">
        <is>
          <t>Clearance Campaign</t>
        </is>
      </c>
    </row>
    <row r="32">
      <c r="A32" s="12" t="inlineStr">
        <is>
          <t>5 · Confidence reference (weight the final uplift)</t>
        </is>
      </c>
    </row>
    <row r="33" ht="28" customHeight="1">
      <c r="A33" s="3" t="inlineStr">
        <is>
          <t>Confidence</t>
        </is>
      </c>
      <c r="B33" s="3" t="inlineStr">
        <is>
          <t>Meaning</t>
        </is>
      </c>
    </row>
    <row r="34">
      <c r="A34" s="96" t="inlineStr">
        <is>
          <t>95%</t>
        </is>
      </c>
      <c r="B34" s="13" t="inlineStr">
        <is>
          <t>Confirmed PO</t>
        </is>
      </c>
    </row>
    <row r="35">
      <c r="A35" s="96" t="inlineStr">
        <is>
          <t>80%</t>
        </is>
      </c>
      <c r="B35" s="13" t="inlineStr">
        <is>
          <t>Retailer confirmation</t>
        </is>
      </c>
    </row>
    <row r="36">
      <c r="A36" s="96" t="inlineStr">
        <is>
          <t>60%</t>
        </is>
      </c>
      <c r="B36" s="13" t="inlineStr">
        <is>
          <t>Business expectation</t>
        </is>
      </c>
    </row>
    <row r="37">
      <c r="A37" s="96" t="inlineStr">
        <is>
          <t>40%</t>
        </is>
      </c>
      <c r="B37" s="13" t="inlineStr">
        <is>
          <t>Early planning</t>
        </is>
      </c>
    </row>
  </sheetData>
  <mergeCells count="7">
    <mergeCell ref="A2:E2"/>
    <mergeCell ref="A16:E16"/>
    <mergeCell ref="A25:E25"/>
    <mergeCell ref="A1:E1"/>
    <mergeCell ref="A32:E32"/>
    <mergeCell ref="A9:E9"/>
    <mergeCell ref="A3:E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3" customWidth="1" min="3" max="3"/>
    <col width="18" customWidth="1" min="4" max="4"/>
    <col width="16" customWidth="1" min="5" max="5"/>
    <col width="18" customWidth="1" min="6" max="6"/>
  </cols>
  <sheetData>
    <row r="1" ht="26" customHeight="1">
      <c r="A1" s="1" t="inlineStr">
        <is>
          <t>TARGET DISTRIBUTION  ·  cascade company target down the hierarchy</t>
        </is>
      </c>
    </row>
    <row r="2">
      <c r="A2" s="12" t="inlineStr">
        <is>
          <t>If only a company target is given, it distributes by real historical contribution %. Planners may override any level (blue) — the residual auto-reconciles so the levels always sum back to the company target. Contribution % are real (primary Apr'25–May'26).</t>
        </is>
      </c>
    </row>
    <row r="3" ht="28" customHeight="1">
      <c r="A3" s="5" t="inlineStr">
        <is>
          <t>Company 3-Month Target (₹ Cr)</t>
        </is>
      </c>
      <c r="B3" s="5" t="inlineStr">
        <is>
          <t>Σ of month targets M .. M+2</t>
        </is>
      </c>
    </row>
    <row r="4">
      <c r="A4" s="98">
        <f>SUMIFS('Monthly Target Upload'!$D$4:$D$15,'Monthly Target Upload'!$A$4:$A$15,'Control Panel'!$B$4)+SUMIFS('Monthly Target Upload'!$D$4:$D$15,'Monthly Target Upload'!$A$4:$A$15,'Control Panel'!$B$6)+SUMIFS('Monthly Target Upload'!$D$4:$D$15,'Monthly Target Upload'!$A$4:$A$15,'Control Panel'!$B$7)</f>
        <v/>
      </c>
      <c r="B4" s="44" t="inlineStr">
        <is>
          <t>company control total</t>
        </is>
      </c>
    </row>
    <row r="6">
      <c r="A6" s="12" t="inlineStr">
        <is>
          <t>Level 1 · by Zone</t>
        </is>
      </c>
    </row>
    <row r="7" ht="28" customHeight="1">
      <c r="A7" s="5" t="inlineStr">
        <is>
          <t>Dimension</t>
        </is>
      </c>
      <c r="B7" s="5" t="inlineStr">
        <is>
          <t>Hist NSV (₹ Cr)</t>
        </is>
      </c>
      <c r="C7" s="5" t="inlineStr">
        <is>
          <t>Contribution %</t>
        </is>
      </c>
      <c r="D7" s="5" t="inlineStr">
        <is>
          <t>Distributed Target (₹ Cr)</t>
        </is>
      </c>
      <c r="E7" s="5" t="inlineStr">
        <is>
          <t>Override (₹ Cr)</t>
        </is>
      </c>
      <c r="F7" s="5" t="inlineStr">
        <is>
          <t>Final Target (₹ Cr)</t>
        </is>
      </c>
    </row>
    <row r="8">
      <c r="A8" s="56" t="inlineStr">
        <is>
          <t>North</t>
        </is>
      </c>
      <c r="B8" s="34" t="n">
        <v>76.645</v>
      </c>
      <c r="C8" s="16">
        <f>IFERROR(B8/SUM($B$8:$B$12),0)</f>
        <v/>
      </c>
      <c r="D8" s="14">
        <f>C8*$A$4</f>
        <v/>
      </c>
      <c r="E8" s="59" t="n"/>
      <c r="F8" s="14">
        <f>IF(E8&lt;&gt;"",E8,D8)</f>
        <v/>
      </c>
    </row>
    <row r="9">
      <c r="A9" s="56" t="inlineStr">
        <is>
          <t>West</t>
        </is>
      </c>
      <c r="B9" s="34" t="n">
        <v>89.839</v>
      </c>
      <c r="C9" s="16">
        <f>IFERROR(B9/SUM($B$8:$B$12),0)</f>
        <v/>
      </c>
      <c r="D9" s="14">
        <f>C9*$A$4</f>
        <v/>
      </c>
      <c r="E9" s="59" t="n"/>
      <c r="F9" s="14">
        <f>IF(E9&lt;&gt;"",E9,D9)</f>
        <v/>
      </c>
    </row>
    <row r="10">
      <c r="A10" s="56" t="inlineStr">
        <is>
          <t>South-1</t>
        </is>
      </c>
      <c r="B10" s="34" t="n">
        <v>74.64100000000001</v>
      </c>
      <c r="C10" s="16">
        <f>IFERROR(B10/SUM($B$8:$B$12),0)</f>
        <v/>
      </c>
      <c r="D10" s="14">
        <f>C10*$A$4</f>
        <v/>
      </c>
      <c r="E10" s="59" t="n"/>
      <c r="F10" s="14">
        <f>IF(E10&lt;&gt;"",E10,D10)</f>
        <v/>
      </c>
    </row>
    <row r="11">
      <c r="A11" s="56" t="inlineStr">
        <is>
          <t>South-2</t>
        </is>
      </c>
      <c r="B11" s="34" t="n">
        <v>46.861</v>
      </c>
      <c r="C11" s="16">
        <f>IFERROR(B11/SUM($B$8:$B$12),0)</f>
        <v/>
      </c>
      <c r="D11" s="14">
        <f>C11*$A$4</f>
        <v/>
      </c>
      <c r="E11" s="59" t="n"/>
      <c r="F11" s="14">
        <f>IF(E11&lt;&gt;"",E11,D11)</f>
        <v/>
      </c>
    </row>
    <row r="12">
      <c r="A12" s="56" t="inlineStr">
        <is>
          <t>East</t>
        </is>
      </c>
      <c r="B12" s="34" t="n">
        <v>41.02</v>
      </c>
      <c r="C12" s="16">
        <f>IFERROR(B12/SUM($B$8:$B$12),0)</f>
        <v/>
      </c>
      <c r="D12" s="14">
        <f>C12*$A$4</f>
        <v/>
      </c>
      <c r="E12" s="59" t="n"/>
      <c r="F12" s="14">
        <f>IF(E12&lt;&gt;"",E12,D12)</f>
        <v/>
      </c>
    </row>
    <row r="13">
      <c r="A13" s="99" t="inlineStr">
        <is>
          <t>TOTAL</t>
        </is>
      </c>
      <c r="B13" s="18">
        <f>SUM(B8:B12)</f>
        <v/>
      </c>
      <c r="C13" s="73">
        <f>SUM(C8:C12)</f>
        <v/>
      </c>
      <c r="D13" s="18">
        <f>SUM(D8:D12)</f>
        <v/>
      </c>
      <c r="E13" s="99" t="n"/>
      <c r="F13" s="18">
        <f>SUM(F8:F12)</f>
        <v/>
      </c>
    </row>
    <row r="14">
      <c r="A14" s="44" t="inlineStr">
        <is>
          <t>Reconciliation vs company target</t>
        </is>
      </c>
      <c r="E14" s="100" t="inlineStr">
        <is>
          <t>OK if 0 →</t>
        </is>
      </c>
      <c r="F14" s="35">
        <f>F13-$A$4</f>
        <v/>
      </c>
    </row>
    <row r="16">
      <c r="A16" s="12" t="inlineStr">
        <is>
          <t>Level 2 · by Chain (top accounts)</t>
        </is>
      </c>
    </row>
    <row r="17" ht="28" customHeight="1">
      <c r="A17" s="5" t="inlineStr">
        <is>
          <t>Dimension</t>
        </is>
      </c>
      <c r="B17" s="5" t="inlineStr">
        <is>
          <t>Hist NSV (₹ Cr)</t>
        </is>
      </c>
      <c r="C17" s="5" t="inlineStr">
        <is>
          <t>Contribution %</t>
        </is>
      </c>
      <c r="D17" s="5" t="inlineStr">
        <is>
          <t>Distributed Target (₹ Cr)</t>
        </is>
      </c>
      <c r="E17" s="5" t="inlineStr">
        <is>
          <t>Override (₹ Cr)</t>
        </is>
      </c>
      <c r="F17" s="5" t="inlineStr">
        <is>
          <t>Final Target (₹ Cr)</t>
        </is>
      </c>
    </row>
    <row r="18">
      <c r="A18" s="56" t="inlineStr">
        <is>
          <t>Reliance Retail Limited</t>
        </is>
      </c>
      <c r="B18" s="34" t="n">
        <v>72.101</v>
      </c>
      <c r="C18" s="16">
        <f>IFERROR(B18/SUM($B$18:$B$57),0)</f>
        <v/>
      </c>
      <c r="D18" s="14">
        <f>C18*$A$4</f>
        <v/>
      </c>
      <c r="E18" s="59" t="n"/>
      <c r="F18" s="14">
        <f>IF(E18&lt;&gt;"",E18,D18)</f>
        <v/>
      </c>
    </row>
    <row r="19">
      <c r="A19" s="56" t="inlineStr">
        <is>
          <t>D-Mart</t>
        </is>
      </c>
      <c r="B19" s="34" t="n">
        <v>61.03</v>
      </c>
      <c r="C19" s="16">
        <f>IFERROR(B19/SUM($B$18:$B$57),0)</f>
        <v/>
      </c>
      <c r="D19" s="14">
        <f>C19*$A$4</f>
        <v/>
      </c>
      <c r="E19" s="59" t="n"/>
      <c r="F19" s="14">
        <f>IF(E19&lt;&gt;"",E19,D19)</f>
        <v/>
      </c>
    </row>
    <row r="20">
      <c r="A20" s="56" t="inlineStr">
        <is>
          <t>Apollo Healthco</t>
        </is>
      </c>
      <c r="B20" s="34" t="n">
        <v>40.572</v>
      </c>
      <c r="C20" s="16">
        <f>IFERROR(B20/SUM($B$18:$B$57),0)</f>
        <v/>
      </c>
      <c r="D20" s="14">
        <f>C20*$A$4</f>
        <v/>
      </c>
      <c r="E20" s="59" t="n"/>
      <c r="F20" s="14">
        <f>IF(E20&lt;&gt;"",E20,D20)</f>
        <v/>
      </c>
    </row>
    <row r="21">
      <c r="A21" s="56" t="inlineStr">
        <is>
          <t>Nykaa E-Retail Limited</t>
        </is>
      </c>
      <c r="B21" s="34" t="n">
        <v>18.244</v>
      </c>
      <c r="C21" s="16">
        <f>IFERROR(B21/SUM($B$18:$B$57),0)</f>
        <v/>
      </c>
      <c r="D21" s="14">
        <f>C21*$A$4</f>
        <v/>
      </c>
      <c r="E21" s="59" t="n"/>
      <c r="F21" s="14">
        <f>IF(E21&lt;&gt;"",E21,D21)</f>
        <v/>
      </c>
    </row>
    <row r="22">
      <c r="A22" s="56" t="inlineStr">
        <is>
          <t>Sri Vijaya Durga Agencies</t>
        </is>
      </c>
      <c r="B22" s="34" t="n">
        <v>16.852</v>
      </c>
      <c r="C22" s="16">
        <f>IFERROR(B22/SUM($B$18:$B$57),0)</f>
        <v/>
      </c>
      <c r="D22" s="14">
        <f>C22*$A$4</f>
        <v/>
      </c>
      <c r="E22" s="59" t="n"/>
      <c r="F22" s="14">
        <f>IF(E22&lt;&gt;"",E22,D22)</f>
        <v/>
      </c>
    </row>
    <row r="23">
      <c r="A23" s="56" t="inlineStr">
        <is>
          <t>JUST MARK-Dmart</t>
        </is>
      </c>
      <c r="B23" s="34" t="n">
        <v>14.088</v>
      </c>
      <c r="C23" s="16">
        <f>IFERROR(B23/SUM($B$18:$B$57),0)</f>
        <v/>
      </c>
      <c r="D23" s="14">
        <f>C23*$A$4</f>
        <v/>
      </c>
      <c r="E23" s="59" t="n"/>
      <c r="F23" s="14">
        <f>IF(E23&lt;&gt;"",E23,D23)</f>
        <v/>
      </c>
    </row>
    <row r="24">
      <c r="A24" s="56" t="inlineStr">
        <is>
          <t>G.V Enterprises</t>
        </is>
      </c>
      <c r="B24" s="34" t="n">
        <v>13.791</v>
      </c>
      <c r="C24" s="16">
        <f>IFERROR(B24/SUM($B$18:$B$57),0)</f>
        <v/>
      </c>
      <c r="D24" s="14">
        <f>C24*$A$4</f>
        <v/>
      </c>
      <c r="E24" s="59" t="n"/>
      <c r="F24" s="14">
        <f>IF(E24&lt;&gt;"",E24,D24)</f>
        <v/>
      </c>
    </row>
    <row r="25">
      <c r="A25" s="56" t="inlineStr">
        <is>
          <t>Kiran Trading Company</t>
        </is>
      </c>
      <c r="B25" s="34" t="n">
        <v>13.131</v>
      </c>
      <c r="C25" s="16">
        <f>IFERROR(B25/SUM($B$18:$B$57),0)</f>
        <v/>
      </c>
      <c r="D25" s="14">
        <f>C25*$A$4</f>
        <v/>
      </c>
      <c r="E25" s="59" t="n"/>
      <c r="F25" s="14">
        <f>IF(E25&lt;&gt;"",E25,D25)</f>
        <v/>
      </c>
    </row>
    <row r="26">
      <c r="A26" s="56" t="inlineStr">
        <is>
          <t>Vanaja Agencies</t>
        </is>
      </c>
      <c r="B26" s="34" t="n">
        <v>8.891999999999999</v>
      </c>
      <c r="C26" s="16">
        <f>IFERROR(B26/SUM($B$18:$B$57),0)</f>
        <v/>
      </c>
      <c r="D26" s="14">
        <f>C26*$A$4</f>
        <v/>
      </c>
      <c r="E26" s="59" t="n"/>
      <c r="F26" s="14">
        <f>IF(E26&lt;&gt;"",E26,D26)</f>
        <v/>
      </c>
    </row>
    <row r="27">
      <c r="A27" s="56" t="inlineStr">
        <is>
          <t>Az Enterprises</t>
        </is>
      </c>
      <c r="B27" s="34" t="n">
        <v>8.429</v>
      </c>
      <c r="C27" s="16">
        <f>IFERROR(B27/SUM($B$18:$B$57),0)</f>
        <v/>
      </c>
      <c r="D27" s="14">
        <f>C27*$A$4</f>
        <v/>
      </c>
      <c r="E27" s="59" t="n"/>
      <c r="F27" s="14">
        <f>IF(E27&lt;&gt;"",E27,D27)</f>
        <v/>
      </c>
    </row>
    <row r="28">
      <c r="A28" s="56" t="inlineStr">
        <is>
          <t>Wellness Forever</t>
        </is>
      </c>
      <c r="B28" s="34" t="n">
        <v>8.262</v>
      </c>
      <c r="C28" s="16">
        <f>IFERROR(B28/SUM($B$18:$B$57),0)</f>
        <v/>
      </c>
      <c r="D28" s="14">
        <f>C28*$A$4</f>
        <v/>
      </c>
      <c r="E28" s="59" t="n"/>
      <c r="F28" s="14">
        <f>IF(E28&lt;&gt;"",E28,D28)</f>
        <v/>
      </c>
    </row>
    <row r="29">
      <c r="A29" s="56" t="inlineStr">
        <is>
          <t>D.L. Sales - MT</t>
        </is>
      </c>
      <c r="B29" s="34" t="n">
        <v>5.191</v>
      </c>
      <c r="C29" s="16">
        <f>IFERROR(B29/SUM($B$18:$B$57),0)</f>
        <v/>
      </c>
      <c r="D29" s="14">
        <f>C29*$A$4</f>
        <v/>
      </c>
      <c r="E29" s="59" t="n"/>
      <c r="F29" s="14">
        <f>IF(E29&lt;&gt;"",E29,D29)</f>
        <v/>
      </c>
    </row>
    <row r="30">
      <c r="A30" s="56" t="inlineStr">
        <is>
          <t>Metro-CNC</t>
        </is>
      </c>
      <c r="B30" s="34" t="n">
        <v>4.759</v>
      </c>
      <c r="C30" s="16">
        <f>IFERROR(B30/SUM($B$18:$B$57),0)</f>
        <v/>
      </c>
      <c r="D30" s="14">
        <f>C30*$A$4</f>
        <v/>
      </c>
      <c r="E30" s="59" t="n"/>
      <c r="F30" s="14">
        <f>IF(E30&lt;&gt;"",E30,D30)</f>
        <v/>
      </c>
    </row>
    <row r="31">
      <c r="A31" s="56" t="inlineStr">
        <is>
          <t>Sancus Networks Private Limited-RMT</t>
        </is>
      </c>
      <c r="B31" s="34" t="n">
        <v>4.664</v>
      </c>
      <c r="C31" s="16">
        <f>IFERROR(B31/SUM($B$18:$B$57),0)</f>
        <v/>
      </c>
      <c r="D31" s="14">
        <f>C31*$A$4</f>
        <v/>
      </c>
      <c r="E31" s="59" t="n"/>
      <c r="F31" s="14">
        <f>IF(E31&lt;&gt;"",E31,D31)</f>
        <v/>
      </c>
    </row>
    <row r="32">
      <c r="A32" s="56" t="inlineStr">
        <is>
          <t>Balaji Associates Distributor MT</t>
        </is>
      </c>
      <c r="B32" s="34" t="n">
        <v>4.257</v>
      </c>
      <c r="C32" s="16">
        <f>IFERROR(B32/SUM($B$18:$B$57),0)</f>
        <v/>
      </c>
      <c r="D32" s="14">
        <f>C32*$A$4</f>
        <v/>
      </c>
      <c r="E32" s="59" t="n"/>
      <c r="F32" s="14">
        <f>IF(E32&lt;&gt;"",E32,D32)</f>
        <v/>
      </c>
    </row>
    <row r="33">
      <c r="A33" s="56" t="inlineStr">
        <is>
          <t>M/S KOTTARAM BUSINESS</t>
        </is>
      </c>
      <c r="B33" s="34" t="n">
        <v>4.039</v>
      </c>
      <c r="C33" s="16">
        <f>IFERROR(B33/SUM($B$18:$B$57),0)</f>
        <v/>
      </c>
      <c r="D33" s="14">
        <f>C33*$A$4</f>
        <v/>
      </c>
      <c r="E33" s="59" t="n"/>
      <c r="F33" s="14">
        <f>IF(E33&lt;&gt;"",E33,D33)</f>
        <v/>
      </c>
    </row>
    <row r="34">
      <c r="A34" s="56" t="inlineStr">
        <is>
          <t>VENKATESHWARA AGENCIES-TG</t>
        </is>
      </c>
      <c r="B34" s="34" t="n">
        <v>3.791</v>
      </c>
      <c r="C34" s="16">
        <f>IFERROR(B34/SUM($B$18:$B$57),0)</f>
        <v/>
      </c>
      <c r="D34" s="14">
        <f>C34*$A$4</f>
        <v/>
      </c>
      <c r="E34" s="59" t="n"/>
      <c r="F34" s="14">
        <f>IF(E34&lt;&gt;"",E34,D34)</f>
        <v/>
      </c>
    </row>
    <row r="35">
      <c r="A35" s="56" t="inlineStr">
        <is>
          <t>Arc Foods And Beverages</t>
        </is>
      </c>
      <c r="B35" s="34" t="n">
        <v>2.584</v>
      </c>
      <c r="C35" s="16">
        <f>IFERROR(B35/SUM($B$18:$B$57),0)</f>
        <v/>
      </c>
      <c r="D35" s="14">
        <f>C35*$A$4</f>
        <v/>
      </c>
      <c r="E35" s="59" t="n"/>
      <c r="F35" s="14">
        <f>IF(E35&lt;&gt;"",E35,D35)</f>
        <v/>
      </c>
    </row>
    <row r="36">
      <c r="A36" s="56" t="inlineStr">
        <is>
          <t>JUST MARK-D-Mart</t>
        </is>
      </c>
      <c r="B36" s="34" t="n">
        <v>2.488</v>
      </c>
      <c r="C36" s="16">
        <f>IFERROR(B36/SUM($B$18:$B$57),0)</f>
        <v/>
      </c>
      <c r="D36" s="14">
        <f>C36*$A$4</f>
        <v/>
      </c>
      <c r="E36" s="59" t="n"/>
      <c r="F36" s="14">
        <f>IF(E36&lt;&gt;"",E36,D36)</f>
        <v/>
      </c>
    </row>
    <row r="37">
      <c r="A37" s="56" t="inlineStr">
        <is>
          <t>Kiran Trading Company-Solapur-D-Mart</t>
        </is>
      </c>
      <c r="B37" s="34" t="n">
        <v>2.353</v>
      </c>
      <c r="C37" s="16">
        <f>IFERROR(B37/SUM($B$18:$B$57),0)</f>
        <v/>
      </c>
      <c r="D37" s="14">
        <f>C37*$A$4</f>
        <v/>
      </c>
      <c r="E37" s="59" t="n"/>
      <c r="F37" s="14">
        <f>IF(E37&lt;&gt;"",E37,D37)</f>
        <v/>
      </c>
    </row>
    <row r="38">
      <c r="A38" s="56" t="inlineStr">
        <is>
          <t>VISHAL ENTERPRISES</t>
        </is>
      </c>
      <c r="B38" s="34" t="n">
        <v>2.315</v>
      </c>
      <c r="C38" s="16">
        <f>IFERROR(B38/SUM($B$18:$B$57),0)</f>
        <v/>
      </c>
      <c r="D38" s="14">
        <f>C38*$A$4</f>
        <v/>
      </c>
      <c r="E38" s="59" t="n"/>
      <c r="F38" s="14">
        <f>IF(E38&lt;&gt;"",E38,D38)</f>
        <v/>
      </c>
    </row>
    <row r="39">
      <c r="A39" s="56" t="inlineStr">
        <is>
          <t>CHHABRA TRADERS</t>
        </is>
      </c>
      <c r="B39" s="34" t="n">
        <v>2.268</v>
      </c>
      <c r="C39" s="16">
        <f>IFERROR(B39/SUM($B$18:$B$57),0)</f>
        <v/>
      </c>
      <c r="D39" s="14">
        <f>C39*$A$4</f>
        <v/>
      </c>
      <c r="E39" s="59" t="n"/>
      <c r="F39" s="14">
        <f>IF(E39&lt;&gt;"",E39,D39)</f>
        <v/>
      </c>
    </row>
    <row r="40">
      <c r="A40" s="56" t="inlineStr">
        <is>
          <t>Walmart-CNC</t>
        </is>
      </c>
      <c r="B40" s="34" t="n">
        <v>2.242</v>
      </c>
      <c r="C40" s="16">
        <f>IFERROR(B40/SUM($B$18:$B$57),0)</f>
        <v/>
      </c>
      <c r="D40" s="14">
        <f>C40*$A$4</f>
        <v/>
      </c>
      <c r="E40" s="59" t="n"/>
      <c r="F40" s="14">
        <f>IF(E40&lt;&gt;"",E40,D40)</f>
        <v/>
      </c>
    </row>
    <row r="41">
      <c r="A41" s="56" t="inlineStr">
        <is>
          <t>PRAGATI SALES-D-MART</t>
        </is>
      </c>
      <c r="B41" s="34" t="n">
        <v>2.006</v>
      </c>
      <c r="C41" s="16">
        <f>IFERROR(B41/SUM($B$18:$B$57),0)</f>
        <v/>
      </c>
      <c r="D41" s="14">
        <f>C41*$A$4</f>
        <v/>
      </c>
      <c r="E41" s="59" t="n"/>
      <c r="F41" s="14">
        <f>IF(E41&lt;&gt;"",E41,D41)</f>
        <v/>
      </c>
    </row>
    <row r="42">
      <c r="A42" s="56" t="inlineStr">
        <is>
          <t>Az Enterprises-MT</t>
        </is>
      </c>
      <c r="B42" s="34" t="n">
        <v>1.564</v>
      </c>
      <c r="C42" s="16">
        <f>IFERROR(B42/SUM($B$18:$B$57),0)</f>
        <v/>
      </c>
      <c r="D42" s="14">
        <f>C42*$A$4</f>
        <v/>
      </c>
      <c r="E42" s="59" t="n"/>
      <c r="F42" s="14">
        <f>IF(E42&lt;&gt;"",E42,D42)</f>
        <v/>
      </c>
    </row>
    <row r="43">
      <c r="A43" s="56" t="inlineStr">
        <is>
          <t>Shoppers Stop</t>
        </is>
      </c>
      <c r="B43" s="34" t="n">
        <v>1.095</v>
      </c>
      <c r="C43" s="16">
        <f>IFERROR(B43/SUM($B$18:$B$57),0)</f>
        <v/>
      </c>
      <c r="D43" s="14">
        <f>C43*$A$4</f>
        <v/>
      </c>
      <c r="E43" s="59" t="n"/>
      <c r="F43" s="14">
        <f>IF(E43&lt;&gt;"",E43,D43)</f>
        <v/>
      </c>
    </row>
    <row r="44">
      <c r="A44" s="56" t="inlineStr">
        <is>
          <t>H&amp;G</t>
        </is>
      </c>
      <c r="B44" s="34" t="n">
        <v>1.039</v>
      </c>
      <c r="C44" s="16">
        <f>IFERROR(B44/SUM($B$18:$B$57),0)</f>
        <v/>
      </c>
      <c r="D44" s="14">
        <f>C44*$A$4</f>
        <v/>
      </c>
      <c r="E44" s="59" t="n"/>
      <c r="F44" s="14">
        <f>IF(E44&lt;&gt;"",E44,D44)</f>
        <v/>
      </c>
    </row>
    <row r="45">
      <c r="A45" s="56" t="inlineStr">
        <is>
          <t>V-Mart Retail Limited</t>
        </is>
      </c>
      <c r="B45" s="34" t="n">
        <v>0.9</v>
      </c>
      <c r="C45" s="16">
        <f>IFERROR(B45/SUM($B$18:$B$57),0)</f>
        <v/>
      </c>
      <c r="D45" s="14">
        <f>C45*$A$4</f>
        <v/>
      </c>
      <c r="E45" s="59" t="n"/>
      <c r="F45" s="14">
        <f>IF(E45&lt;&gt;"",E45,D45)</f>
        <v/>
      </c>
    </row>
    <row r="46">
      <c r="A46" s="56" t="inlineStr">
        <is>
          <t>Eremedium Private Limited</t>
        </is>
      </c>
      <c r="B46" s="34" t="n">
        <v>0.681</v>
      </c>
      <c r="C46" s="16">
        <f>IFERROR(B46/SUM($B$18:$B$57),0)</f>
        <v/>
      </c>
      <c r="D46" s="14">
        <f>C46*$A$4</f>
        <v/>
      </c>
      <c r="E46" s="59" t="n"/>
      <c r="F46" s="14">
        <f>IF(E46&lt;&gt;"",E46,D46)</f>
        <v/>
      </c>
    </row>
    <row r="47">
      <c r="A47" s="56" t="inlineStr">
        <is>
          <t>Trent Hypermarket</t>
        </is>
      </c>
      <c r="B47" s="34" t="n">
        <v>0.636</v>
      </c>
      <c r="C47" s="16">
        <f>IFERROR(B47/SUM($B$18:$B$57),0)</f>
        <v/>
      </c>
      <c r="D47" s="14">
        <f>C47*$A$4</f>
        <v/>
      </c>
      <c r="E47" s="59" t="n"/>
      <c r="F47" s="14">
        <f>IF(E47&lt;&gt;"",E47,D47)</f>
        <v/>
      </c>
    </row>
    <row r="48">
      <c r="A48" s="56" t="inlineStr">
        <is>
          <t>VISHAL ENTERPRISES-D-Mart</t>
        </is>
      </c>
      <c r="B48" s="34" t="n">
        <v>0.622</v>
      </c>
      <c r="C48" s="16">
        <f>IFERROR(B48/SUM($B$18:$B$57),0)</f>
        <v/>
      </c>
      <c r="D48" s="14">
        <f>C48*$A$4</f>
        <v/>
      </c>
      <c r="E48" s="59" t="n"/>
      <c r="F48" s="14">
        <f>IF(E48&lt;&gt;"",E48,D48)</f>
        <v/>
      </c>
    </row>
    <row r="49">
      <c r="A49" s="56" t="inlineStr">
        <is>
          <t>MARK ENTERPRISE</t>
        </is>
      </c>
      <c r="B49" s="34" t="n">
        <v>0.591</v>
      </c>
      <c r="C49" s="16">
        <f>IFERROR(B49/SUM($B$18:$B$57),0)</f>
        <v/>
      </c>
      <c r="D49" s="14">
        <f>C49*$A$4</f>
        <v/>
      </c>
      <c r="E49" s="59" t="n"/>
      <c r="F49" s="14">
        <f>IF(E49&lt;&gt;"",E49,D49)</f>
        <v/>
      </c>
    </row>
    <row r="50">
      <c r="A50" s="56" t="inlineStr">
        <is>
          <t>Azorte</t>
        </is>
      </c>
      <c r="B50" s="34" t="n">
        <v>0.588</v>
      </c>
      <c r="C50" s="16">
        <f>IFERROR(B50/SUM($B$18:$B$57),0)</f>
        <v/>
      </c>
      <c r="D50" s="14">
        <f>C50*$A$4</f>
        <v/>
      </c>
      <c r="E50" s="59" t="n"/>
      <c r="F50" s="14">
        <f>IF(E50&lt;&gt;"",E50,D50)</f>
        <v/>
      </c>
    </row>
    <row r="51">
      <c r="A51" s="56" t="inlineStr">
        <is>
          <t>RR Traders-MT</t>
        </is>
      </c>
      <c r="B51" s="34" t="n">
        <v>0.422</v>
      </c>
      <c r="C51" s="16">
        <f>IFERROR(B51/SUM($B$18:$B$57),0)</f>
        <v/>
      </c>
      <c r="D51" s="14">
        <f>C51*$A$4</f>
        <v/>
      </c>
      <c r="E51" s="59" t="n"/>
      <c r="F51" s="14">
        <f>IF(E51&lt;&gt;"",E51,D51)</f>
        <v/>
      </c>
    </row>
    <row r="52">
      <c r="A52" s="56" t="inlineStr">
        <is>
          <t>Sancus Networks-MT-Reg.</t>
        </is>
      </c>
      <c r="B52" s="34" t="n">
        <v>0.389</v>
      </c>
      <c r="C52" s="16">
        <f>IFERROR(B52/SUM($B$18:$B$57),0)</f>
        <v/>
      </c>
      <c r="D52" s="14">
        <f>C52*$A$4</f>
        <v/>
      </c>
      <c r="E52" s="59" t="n"/>
      <c r="F52" s="14">
        <f>IF(E52&lt;&gt;"",E52,D52)</f>
        <v/>
      </c>
    </row>
    <row r="53">
      <c r="A53" s="56" t="inlineStr">
        <is>
          <t>Sri Lalitha Enterprises</t>
        </is>
      </c>
      <c r="B53" s="34" t="n">
        <v>0.261</v>
      </c>
      <c r="C53" s="16">
        <f>IFERROR(B53/SUM($B$18:$B$57),0)</f>
        <v/>
      </c>
      <c r="D53" s="14">
        <f>C53*$A$4</f>
        <v/>
      </c>
      <c r="E53" s="59" t="n"/>
      <c r="F53" s="14">
        <f>IF(E53&lt;&gt;"",E53,D53)</f>
        <v/>
      </c>
    </row>
    <row r="54">
      <c r="A54" s="56" t="inlineStr">
        <is>
          <t>Ascent Wellness</t>
        </is>
      </c>
      <c r="B54" s="34" t="n">
        <v>0.26</v>
      </c>
      <c r="C54" s="16">
        <f>IFERROR(B54/SUM($B$18:$B$57),0)</f>
        <v/>
      </c>
      <c r="D54" s="14">
        <f>C54*$A$4</f>
        <v/>
      </c>
      <c r="E54" s="59" t="n"/>
      <c r="F54" s="14">
        <f>IF(E54&lt;&gt;"",E54,D54)</f>
        <v/>
      </c>
    </row>
    <row r="55">
      <c r="A55" s="56" t="inlineStr">
        <is>
          <t>Broadway</t>
        </is>
      </c>
      <c r="B55" s="34" t="n">
        <v>0.205</v>
      </c>
      <c r="C55" s="16">
        <f>IFERROR(B55/SUM($B$18:$B$57),0)</f>
        <v/>
      </c>
      <c r="D55" s="14">
        <f>C55*$A$4</f>
        <v/>
      </c>
      <c r="E55" s="59" t="n"/>
      <c r="F55" s="14">
        <f>IF(E55&lt;&gt;"",E55,D55)</f>
        <v/>
      </c>
    </row>
    <row r="56">
      <c r="A56" s="56" t="inlineStr">
        <is>
          <t>Lifestyle</t>
        </is>
      </c>
      <c r="B56" s="34" t="n">
        <v>0.193</v>
      </c>
      <c r="C56" s="16">
        <f>IFERROR(B56/SUM($B$18:$B$57),0)</f>
        <v/>
      </c>
      <c r="D56" s="14">
        <f>C56*$A$4</f>
        <v/>
      </c>
      <c r="E56" s="59" t="n"/>
      <c r="F56" s="14">
        <f>IF(E56&lt;&gt;"",E56,D56)</f>
        <v/>
      </c>
    </row>
    <row r="57">
      <c r="A57" s="56" t="inlineStr">
        <is>
          <t>Sathyashree Enterprises</t>
        </is>
      </c>
      <c r="B57" s="34" t="n">
        <v>0.192</v>
      </c>
      <c r="C57" s="16">
        <f>IFERROR(B57/SUM($B$18:$B$57),0)</f>
        <v/>
      </c>
      <c r="D57" s="14">
        <f>C57*$A$4</f>
        <v/>
      </c>
      <c r="E57" s="59" t="n"/>
      <c r="F57" s="14">
        <f>IF(E57&lt;&gt;"",E57,D57)</f>
        <v/>
      </c>
    </row>
    <row r="58">
      <c r="A58" s="99" t="inlineStr">
        <is>
          <t>TOTAL</t>
        </is>
      </c>
      <c r="B58" s="18">
        <f>SUM(B18:B57)</f>
        <v/>
      </c>
      <c r="C58" s="73">
        <f>SUM(C18:C57)</f>
        <v/>
      </c>
      <c r="D58" s="18">
        <f>SUM(D18:D57)</f>
        <v/>
      </c>
      <c r="E58" s="99" t="n"/>
      <c r="F58" s="18">
        <f>SUM(F18:F57)</f>
        <v/>
      </c>
    </row>
    <row r="59">
      <c r="A59" s="44" t="inlineStr">
        <is>
          <t>Reconciliation vs company target</t>
        </is>
      </c>
      <c r="E59" s="100" t="inlineStr">
        <is>
          <t>OK if 0 →</t>
        </is>
      </c>
      <c r="F59" s="35">
        <f>F58-$A$4</f>
        <v/>
      </c>
    </row>
    <row r="61">
      <c r="A61" s="12" t="inlineStr">
        <is>
          <t>Level 3 · by State (top)</t>
        </is>
      </c>
    </row>
    <row r="62" ht="28" customHeight="1">
      <c r="A62" s="5" t="inlineStr">
        <is>
          <t>Dimension</t>
        </is>
      </c>
      <c r="B62" s="5" t="inlineStr">
        <is>
          <t>Hist NSV (₹ Cr)</t>
        </is>
      </c>
      <c r="C62" s="5" t="inlineStr">
        <is>
          <t>Contribution %</t>
        </is>
      </c>
      <c r="D62" s="5" t="inlineStr">
        <is>
          <t>Distributed Target (₹ Cr)</t>
        </is>
      </c>
      <c r="E62" s="5" t="inlineStr">
        <is>
          <t>Override (₹ Cr)</t>
        </is>
      </c>
      <c r="F62" s="5" t="inlineStr">
        <is>
          <t>Final Target (₹ Cr)</t>
        </is>
      </c>
    </row>
    <row r="63">
      <c r="A63" s="56" t="inlineStr">
        <is>
          <t>Karnataka</t>
        </is>
      </c>
      <c r="B63" s="34" t="n">
        <v>39.373</v>
      </c>
      <c r="C63" s="16">
        <f>IFERROR(B63/SUM($B$63:$B$87),0)</f>
        <v/>
      </c>
      <c r="D63" s="14">
        <f>C63*$A$4</f>
        <v/>
      </c>
      <c r="E63" s="59" t="n"/>
      <c r="F63" s="14">
        <f>IF(E63&lt;&gt;"",E63,D63)</f>
        <v/>
      </c>
    </row>
    <row r="64">
      <c r="A64" s="56" t="inlineStr">
        <is>
          <t>Mumbai</t>
        </is>
      </c>
      <c r="B64" s="34" t="n">
        <v>34.352</v>
      </c>
      <c r="C64" s="16">
        <f>IFERROR(B64/SUM($B$63:$B$87),0)</f>
        <v/>
      </c>
      <c r="D64" s="14">
        <f>C64*$A$4</f>
        <v/>
      </c>
      <c r="E64" s="59" t="n"/>
      <c r="F64" s="14">
        <f>IF(E64&lt;&gt;"",E64,D64)</f>
        <v/>
      </c>
    </row>
    <row r="65">
      <c r="A65" s="56" t="inlineStr">
        <is>
          <t>Tamil Nadu</t>
        </is>
      </c>
      <c r="B65" s="34" t="n">
        <v>25.301</v>
      </c>
      <c r="C65" s="16">
        <f>IFERROR(B65/SUM($B$63:$B$87),0)</f>
        <v/>
      </c>
      <c r="D65" s="14">
        <f>C65*$A$4</f>
        <v/>
      </c>
      <c r="E65" s="59" t="n"/>
      <c r="F65" s="14">
        <f>IF(E65&lt;&gt;"",E65,D65)</f>
        <v/>
      </c>
    </row>
    <row r="66">
      <c r="A66" s="56" t="inlineStr">
        <is>
          <t>Gujarat</t>
        </is>
      </c>
      <c r="B66" s="34" t="n">
        <v>24.973</v>
      </c>
      <c r="C66" s="16">
        <f>IFERROR(B66/SUM($B$63:$B$87),0)</f>
        <v/>
      </c>
      <c r="D66" s="14">
        <f>C66*$A$4</f>
        <v/>
      </c>
      <c r="E66" s="59" t="n"/>
      <c r="F66" s="14">
        <f>IF(E66&lt;&gt;"",E66,D66)</f>
        <v/>
      </c>
    </row>
    <row r="67">
      <c r="A67" s="56" t="inlineStr">
        <is>
          <t>Telangana</t>
        </is>
      </c>
      <c r="B67" s="34" t="n">
        <v>24.845</v>
      </c>
      <c r="C67" s="16">
        <f>IFERROR(B67/SUM($B$63:$B$87),0)</f>
        <v/>
      </c>
      <c r="D67" s="14">
        <f>C67*$A$4</f>
        <v/>
      </c>
      <c r="E67" s="59" t="n"/>
      <c r="F67" s="14">
        <f>IF(E67&lt;&gt;"",E67,D67)</f>
        <v/>
      </c>
    </row>
    <row r="68">
      <c r="A68" s="56" t="inlineStr">
        <is>
          <t>Maharashtra</t>
        </is>
      </c>
      <c r="B68" s="34" t="n">
        <v>22.237</v>
      </c>
      <c r="C68" s="16">
        <f>IFERROR(B68/SUM($B$63:$B$87),0)</f>
        <v/>
      </c>
      <c r="D68" s="14">
        <f>C68*$A$4</f>
        <v/>
      </c>
      <c r="E68" s="59" t="n"/>
      <c r="F68" s="14">
        <f>IF(E68&lt;&gt;"",E68,D68)</f>
        <v/>
      </c>
    </row>
    <row r="69">
      <c r="A69" s="56" t="inlineStr">
        <is>
          <t>Andhra Pradesh</t>
        </is>
      </c>
      <c r="B69" s="34" t="n">
        <v>22.016</v>
      </c>
      <c r="C69" s="16">
        <f>IFERROR(B69/SUM($B$63:$B$87),0)</f>
        <v/>
      </c>
      <c r="D69" s="14">
        <f>C69*$A$4</f>
        <v/>
      </c>
      <c r="E69" s="59" t="n"/>
      <c r="F69" s="14">
        <f>IF(E69&lt;&gt;"",E69,D69)</f>
        <v/>
      </c>
    </row>
    <row r="70">
      <c r="A70" s="56" t="inlineStr">
        <is>
          <t>West Bengal</t>
        </is>
      </c>
      <c r="B70" s="34" t="n">
        <v>17.804</v>
      </c>
      <c r="C70" s="16">
        <f>IFERROR(B70/SUM($B$63:$B$87),0)</f>
        <v/>
      </c>
      <c r="D70" s="14">
        <f>C70*$A$4</f>
        <v/>
      </c>
      <c r="E70" s="59" t="n"/>
      <c r="F70" s="14">
        <f>IF(E70&lt;&gt;"",E70,D70)</f>
        <v/>
      </c>
    </row>
    <row r="71">
      <c r="A71" s="56" t="inlineStr">
        <is>
          <t>Delhi NCR</t>
        </is>
      </c>
      <c r="B71" s="34" t="n">
        <v>17.251</v>
      </c>
      <c r="C71" s="16">
        <f>IFERROR(B71/SUM($B$63:$B$87),0)</f>
        <v/>
      </c>
      <c r="D71" s="14">
        <f>C71*$A$4</f>
        <v/>
      </c>
      <c r="E71" s="59" t="n"/>
      <c r="F71" s="14">
        <f>IF(E71&lt;&gt;"",E71,D71)</f>
        <v/>
      </c>
    </row>
    <row r="72">
      <c r="A72" s="56" t="inlineStr">
        <is>
          <t>Haryana</t>
        </is>
      </c>
      <c r="B72" s="34" t="n">
        <v>13</v>
      </c>
      <c r="C72" s="16">
        <f>IFERROR(B72/SUM($B$63:$B$87),0)</f>
        <v/>
      </c>
      <c r="D72" s="14">
        <f>C72*$A$4</f>
        <v/>
      </c>
      <c r="E72" s="59" t="n"/>
      <c r="F72" s="14">
        <f>IF(E72&lt;&gt;"",E72,D72)</f>
        <v/>
      </c>
    </row>
    <row r="73">
      <c r="A73" s="56" t="inlineStr">
        <is>
          <t>Madhya Pradesh</t>
        </is>
      </c>
      <c r="B73" s="34" t="n">
        <v>12.638</v>
      </c>
      <c r="C73" s="16">
        <f>IFERROR(B73/SUM($B$63:$B$87),0)</f>
        <v/>
      </c>
      <c r="D73" s="14">
        <f>C73*$A$4</f>
        <v/>
      </c>
      <c r="E73" s="59" t="n"/>
      <c r="F73" s="14">
        <f>IF(E73&lt;&gt;"",E73,D73)</f>
        <v/>
      </c>
    </row>
    <row r="74">
      <c r="A74" s="56" t="inlineStr">
        <is>
          <t>Punjab</t>
        </is>
      </c>
      <c r="B74" s="34" t="n">
        <v>12.272</v>
      </c>
      <c r="C74" s="16">
        <f>IFERROR(B74/SUM($B$63:$B$87),0)</f>
        <v/>
      </c>
      <c r="D74" s="14">
        <f>C74*$A$4</f>
        <v/>
      </c>
      <c r="E74" s="59" t="n"/>
      <c r="F74" s="14">
        <f>IF(E74&lt;&gt;"",E74,D74)</f>
        <v/>
      </c>
    </row>
    <row r="75">
      <c r="A75" s="56" t="inlineStr">
        <is>
          <t>Rajasthan</t>
        </is>
      </c>
      <c r="B75" s="34" t="n">
        <v>11.402</v>
      </c>
      <c r="C75" s="16">
        <f>IFERROR(B75/SUM($B$63:$B$87),0)</f>
        <v/>
      </c>
      <c r="D75" s="14">
        <f>C75*$A$4</f>
        <v/>
      </c>
      <c r="E75" s="59" t="n"/>
      <c r="F75" s="14">
        <f>IF(E75&lt;&gt;"",E75,D75)</f>
        <v/>
      </c>
    </row>
    <row r="76">
      <c r="A76" s="56" t="inlineStr">
        <is>
          <t>Kerala</t>
        </is>
      </c>
      <c r="B76" s="34" t="n">
        <v>9.967000000000001</v>
      </c>
      <c r="C76" s="16">
        <f>IFERROR(B76/SUM($B$63:$B$87),0)</f>
        <v/>
      </c>
      <c r="D76" s="14">
        <f>C76*$A$4</f>
        <v/>
      </c>
      <c r="E76" s="59" t="n"/>
      <c r="F76" s="14">
        <f>IF(E76&lt;&gt;"",E76,D76)</f>
        <v/>
      </c>
    </row>
    <row r="77">
      <c r="A77" s="56" t="inlineStr">
        <is>
          <t>Lucknow-UPE</t>
        </is>
      </c>
      <c r="B77" s="34" t="n">
        <v>8.433</v>
      </c>
      <c r="C77" s="16">
        <f>IFERROR(B77/SUM($B$63:$B$87),0)</f>
        <v/>
      </c>
      <c r="D77" s="14">
        <f>C77*$A$4</f>
        <v/>
      </c>
      <c r="E77" s="59" t="n"/>
      <c r="F77" s="14">
        <f>IF(E77&lt;&gt;"",E77,D77)</f>
        <v/>
      </c>
    </row>
    <row r="78">
      <c r="A78" s="56" t="inlineStr">
        <is>
          <t>Northeast</t>
        </is>
      </c>
      <c r="B78" s="34" t="n">
        <v>7.463</v>
      </c>
      <c r="C78" s="16">
        <f>IFERROR(B78/SUM($B$63:$B$87),0)</f>
        <v/>
      </c>
      <c r="D78" s="14">
        <f>C78*$A$4</f>
        <v/>
      </c>
      <c r="E78" s="59" t="n"/>
      <c r="F78" s="14">
        <f>IF(E78&lt;&gt;"",E78,D78)</f>
        <v/>
      </c>
    </row>
    <row r="79">
      <c r="A79" s="56" t="inlineStr">
        <is>
          <t>Orissa</t>
        </is>
      </c>
      <c r="B79" s="34" t="n">
        <v>6.383</v>
      </c>
      <c r="C79" s="16">
        <f>IFERROR(B79/SUM($B$63:$B$87),0)</f>
        <v/>
      </c>
      <c r="D79" s="14">
        <f>C79*$A$4</f>
        <v/>
      </c>
      <c r="E79" s="59" t="n"/>
      <c r="F79" s="14">
        <f>IF(E79&lt;&gt;"",E79,D79)</f>
        <v/>
      </c>
    </row>
    <row r="80">
      <c r="A80" s="56" t="inlineStr">
        <is>
          <t>Bihar</t>
        </is>
      </c>
      <c r="B80" s="34" t="n">
        <v>5.468</v>
      </c>
      <c r="C80" s="16">
        <f>IFERROR(B80/SUM($B$63:$B$87),0)</f>
        <v/>
      </c>
      <c r="D80" s="14">
        <f>C80*$A$4</f>
        <v/>
      </c>
      <c r="E80" s="59" t="n"/>
      <c r="F80" s="14">
        <f>IF(E80&lt;&gt;"",E80,D80)</f>
        <v/>
      </c>
    </row>
    <row r="81">
      <c r="A81" s="56" t="inlineStr">
        <is>
          <t>CG</t>
        </is>
      </c>
      <c r="B81" s="34" t="n">
        <v>4.304</v>
      </c>
      <c r="C81" s="16">
        <f>IFERROR(B81/SUM($B$63:$B$87),0)</f>
        <v/>
      </c>
      <c r="D81" s="14">
        <f>C81*$A$4</f>
        <v/>
      </c>
      <c r="E81" s="59" t="n"/>
      <c r="F81" s="14">
        <f>IF(E81&lt;&gt;"",E81,D81)</f>
        <v/>
      </c>
    </row>
    <row r="82">
      <c r="A82" s="56" t="inlineStr">
        <is>
          <t>Jharkhand</t>
        </is>
      </c>
      <c r="B82" s="34" t="n">
        <v>3.903</v>
      </c>
      <c r="C82" s="16">
        <f>IFERROR(B82/SUM($B$63:$B$87),0)</f>
        <v/>
      </c>
      <c r="D82" s="14">
        <f>C82*$A$4</f>
        <v/>
      </c>
      <c r="E82" s="59" t="n"/>
      <c r="F82" s="14">
        <f>IF(E82&lt;&gt;"",E82,D82)</f>
        <v/>
      </c>
    </row>
    <row r="83">
      <c r="A83" s="56" t="inlineStr">
        <is>
          <t>Pune</t>
        </is>
      </c>
      <c r="B83" s="34" t="n">
        <v>3.258</v>
      </c>
      <c r="C83" s="16">
        <f>IFERROR(B83/SUM($B$63:$B$87),0)</f>
        <v/>
      </c>
      <c r="D83" s="14">
        <f>C83*$A$4</f>
        <v/>
      </c>
      <c r="E83" s="59" t="n"/>
      <c r="F83" s="14">
        <f>IF(E83&lt;&gt;"",E83,D83)</f>
        <v/>
      </c>
    </row>
    <row r="84">
      <c r="A84" s="56" t="inlineStr">
        <is>
          <t>UPW</t>
        </is>
      </c>
      <c r="B84" s="34" t="n">
        <v>0.829</v>
      </c>
      <c r="C84" s="16">
        <f>IFERROR(B84/SUM($B$63:$B$87),0)</f>
        <v/>
      </c>
      <c r="D84" s="14">
        <f>C84*$A$4</f>
        <v/>
      </c>
      <c r="E84" s="59" t="n"/>
      <c r="F84" s="14">
        <f>IF(E84&lt;&gt;"",E84,D84)</f>
        <v/>
      </c>
    </row>
    <row r="85">
      <c r="A85" s="56" t="inlineStr">
        <is>
          <t>Uttarakhand</t>
        </is>
      </c>
      <c r="B85" s="34" t="n">
        <v>0.76</v>
      </c>
      <c r="C85" s="16">
        <f>IFERROR(B85/SUM($B$63:$B$87),0)</f>
        <v/>
      </c>
      <c r="D85" s="14">
        <f>C85*$A$4</f>
        <v/>
      </c>
      <c r="E85" s="59" t="n"/>
      <c r="F85" s="14">
        <f>IF(E85&lt;&gt;"",E85,D85)</f>
        <v/>
      </c>
    </row>
    <row r="86">
      <c r="A86" s="56" t="inlineStr">
        <is>
          <t>Goa</t>
        </is>
      </c>
      <c r="B86" s="34" t="n">
        <v>0.714</v>
      </c>
      <c r="C86" s="16">
        <f>IFERROR(B86/SUM($B$63:$B$87),0)</f>
        <v/>
      </c>
      <c r="D86" s="14">
        <f>C86*$A$4</f>
        <v/>
      </c>
      <c r="E86" s="59" t="n"/>
      <c r="F86" s="14">
        <f>IF(E86&lt;&gt;"",E86,D86)</f>
        <v/>
      </c>
    </row>
    <row r="87">
      <c r="A87" s="56" t="inlineStr">
        <is>
          <t>Jammu</t>
        </is>
      </c>
      <c r="B87" s="34" t="n">
        <v>0.059</v>
      </c>
      <c r="C87" s="16">
        <f>IFERROR(B87/SUM($B$63:$B$87),0)</f>
        <v/>
      </c>
      <c r="D87" s="14">
        <f>C87*$A$4</f>
        <v/>
      </c>
      <c r="E87" s="59" t="n"/>
      <c r="F87" s="14">
        <f>IF(E87&lt;&gt;"",E87,D87)</f>
        <v/>
      </c>
    </row>
    <row r="88">
      <c r="A88" s="99" t="inlineStr">
        <is>
          <t>TOTAL</t>
        </is>
      </c>
      <c r="B88" s="18">
        <f>SUM(B63:B87)</f>
        <v/>
      </c>
      <c r="C88" s="73">
        <f>SUM(C63:C87)</f>
        <v/>
      </c>
      <c r="D88" s="18">
        <f>SUM(D63:D87)</f>
        <v/>
      </c>
      <c r="E88" s="99" t="n"/>
      <c r="F88" s="18">
        <f>SUM(F63:F87)</f>
        <v/>
      </c>
    </row>
    <row r="89">
      <c r="A89" s="44" t="inlineStr">
        <is>
          <t>Reconciliation vs company target</t>
        </is>
      </c>
      <c r="E89" s="100" t="inlineStr">
        <is>
          <t>OK if 0 →</t>
        </is>
      </c>
      <c r="F89" s="35">
        <f>F88-$A$4</f>
        <v/>
      </c>
    </row>
    <row r="91">
      <c r="A91" s="12" t="inlineStr">
        <is>
          <t>Level 4 · by Article (top SKUs)</t>
        </is>
      </c>
    </row>
    <row r="92" ht="28" customHeight="1">
      <c r="A92" s="5" t="inlineStr">
        <is>
          <t>Dimension</t>
        </is>
      </c>
      <c r="B92" s="5" t="inlineStr">
        <is>
          <t>Hist NSV (₹ Cr)</t>
        </is>
      </c>
      <c r="C92" s="5" t="inlineStr">
        <is>
          <t>Contribution %</t>
        </is>
      </c>
      <c r="D92" s="5" t="inlineStr">
        <is>
          <t>Distributed Target (₹ Cr)</t>
        </is>
      </c>
      <c r="E92" s="5" t="inlineStr">
        <is>
          <t>Override (₹ Cr)</t>
        </is>
      </c>
      <c r="F92" s="5" t="inlineStr">
        <is>
          <t>Final Target (₹ Cr)</t>
        </is>
      </c>
    </row>
    <row r="93">
      <c r="A93" s="56" t="inlineStr">
        <is>
          <t>10101163 · Rice Dewy Bright Face wa</t>
        </is>
      </c>
      <c r="B93" s="34" t="n">
        <v>19.517</v>
      </c>
      <c r="C93" s="16">
        <f>IFERROR(B93/SUM($B$93:$B$132),0)</f>
        <v/>
      </c>
      <c r="D93" s="14">
        <f>C93*$A$4</f>
        <v/>
      </c>
      <c r="E93" s="59" t="n"/>
      <c r="F93" s="14">
        <f>IF(E93&lt;&gt;"",E93,D93)</f>
        <v/>
      </c>
    </row>
    <row r="94">
      <c r="A94" s="56" t="inlineStr">
        <is>
          <t>10100695 · ME Ubtan Natural Glow Fa</t>
        </is>
      </c>
      <c r="B94" s="34" t="n">
        <v>11.638</v>
      </c>
      <c r="C94" s="16">
        <f>IFERROR(B94/SUM($B$93:$B$132),0)</f>
        <v/>
      </c>
      <c r="D94" s="14">
        <f>C94*$A$4</f>
        <v/>
      </c>
      <c r="E94" s="59" t="n"/>
      <c r="F94" s="14">
        <f>IF(E94&lt;&gt;"",E94,D94)</f>
        <v/>
      </c>
    </row>
    <row r="95">
      <c r="A95" s="56" t="inlineStr">
        <is>
          <t>10200048 · The Derma 1% Salicylic A</t>
        </is>
      </c>
      <c r="B95" s="34" t="n">
        <v>11.395</v>
      </c>
      <c r="C95" s="16">
        <f>IFERROR(B95/SUM($B$93:$B$132),0)</f>
        <v/>
      </c>
      <c r="D95" s="14">
        <f>C95*$A$4</f>
        <v/>
      </c>
      <c r="E95" s="59" t="n"/>
      <c r="F95" s="14">
        <f>IF(E95&lt;&gt;"",E95,D95)</f>
        <v/>
      </c>
    </row>
    <row r="96">
      <c r="A96" s="56" t="inlineStr">
        <is>
          <t xml:space="preserve">10200051 · 1% Hyaluronic Sunscreen </t>
        </is>
      </c>
      <c r="B96" s="34" t="n">
        <v>10.381</v>
      </c>
      <c r="C96" s="16">
        <f>IFERROR(B96/SUM($B$93:$B$132),0)</f>
        <v/>
      </c>
      <c r="D96" s="14">
        <f>C96*$A$4</f>
        <v/>
      </c>
      <c r="E96" s="59" t="n"/>
      <c r="F96" s="14">
        <f>IF(E96&lt;&gt;"",E96,D96)</f>
        <v/>
      </c>
    </row>
    <row r="97">
      <c r="A97" s="56" t="inlineStr">
        <is>
          <t>10100099 · Onion Shampoo for Hair G</t>
        </is>
      </c>
      <c r="B97" s="34" t="n">
        <v>9.298999999999999</v>
      </c>
      <c r="C97" s="16">
        <f>IFERROR(B97/SUM($B$93:$B$132),0)</f>
        <v/>
      </c>
      <c r="D97" s="14">
        <f>C97*$A$4</f>
        <v/>
      </c>
      <c r="E97" s="59" t="n"/>
      <c r="F97" s="14">
        <f>IF(E97&lt;&gt;"",E97,D97)</f>
        <v/>
      </c>
    </row>
    <row r="98">
      <c r="A98" s="56" t="inlineStr">
        <is>
          <t>10100062 · Mamaearth Ultra Light In</t>
        </is>
      </c>
      <c r="B98" s="34" t="n">
        <v>7.464</v>
      </c>
      <c r="C98" s="16">
        <f>IFERROR(B98/SUM($B$93:$B$132),0)</f>
        <v/>
      </c>
      <c r="D98" s="14">
        <f>C98*$A$4</f>
        <v/>
      </c>
      <c r="E98" s="59" t="n"/>
      <c r="F98" s="14">
        <f>IF(E98&lt;&gt;"",E98,D98)</f>
        <v/>
      </c>
    </row>
    <row r="99">
      <c r="A99" s="56" t="inlineStr">
        <is>
          <t>10100830 · Onion Shampoo 600 ml</t>
        </is>
      </c>
      <c r="B99" s="34" t="n">
        <v>7.458</v>
      </c>
      <c r="C99" s="16">
        <f>IFERROR(B99/SUM($B$93:$B$132),0)</f>
        <v/>
      </c>
      <c r="D99" s="14">
        <f>C99*$A$4</f>
        <v/>
      </c>
      <c r="E99" s="59" t="n"/>
      <c r="F99" s="14">
        <f>IF(E99&lt;&gt;"",E99,D99)</f>
        <v/>
      </c>
    </row>
    <row r="100">
      <c r="A100" s="56" t="inlineStr">
        <is>
          <t>10100076 · Onion Shampoo for Hair G</t>
        </is>
      </c>
      <c r="B100" s="34" t="n">
        <v>6.876</v>
      </c>
      <c r="C100" s="16">
        <f>IFERROR(B100/SUM($B$93:$B$132),0)</f>
        <v/>
      </c>
      <c r="D100" s="14">
        <f>C100*$A$4</f>
        <v/>
      </c>
      <c r="E100" s="59" t="n"/>
      <c r="F100" s="14">
        <f>IF(E100&lt;&gt;"",E100,D100)</f>
        <v/>
      </c>
    </row>
    <row r="101">
      <c r="A101" s="56" t="inlineStr">
        <is>
          <t>10101055 · ME Rosemary Anti-Hairfal</t>
        </is>
      </c>
      <c r="B101" s="34" t="n">
        <v>6.254</v>
      </c>
      <c r="C101" s="16">
        <f>IFERROR(B101/SUM($B$93:$B$132),0)</f>
        <v/>
      </c>
      <c r="D101" s="14">
        <f>C101*$A$4</f>
        <v/>
      </c>
      <c r="E101" s="59" t="n"/>
      <c r="F101" s="14">
        <f>IF(E101&lt;&gt;"",E101,D101)</f>
        <v/>
      </c>
    </row>
    <row r="102">
      <c r="A102" s="56" t="inlineStr">
        <is>
          <t>10100618 · Rice Face Wash 100 ml</t>
        </is>
      </c>
      <c r="B102" s="34" t="n">
        <v>4.963</v>
      </c>
      <c r="C102" s="16">
        <f>IFERROR(B102/SUM($B$93:$B$132),0)</f>
        <v/>
      </c>
      <c r="D102" s="14">
        <f>C102*$A$4</f>
        <v/>
      </c>
      <c r="E102" s="59" t="n"/>
      <c r="F102" s="14">
        <f>IF(E102&lt;&gt;"",E102,D102)</f>
        <v/>
      </c>
    </row>
    <row r="103">
      <c r="A103" s="56" t="inlineStr">
        <is>
          <t>10100035 · ME Ubtan Natural Glow Fa</t>
        </is>
      </c>
      <c r="B103" s="34" t="n">
        <v>4.85</v>
      </c>
      <c r="C103" s="16">
        <f>IFERROR(B103/SUM($B$93:$B$132),0)</f>
        <v/>
      </c>
      <c r="D103" s="14">
        <f>C103*$A$4</f>
        <v/>
      </c>
      <c r="E103" s="59" t="n"/>
      <c r="F103" s="14">
        <f>IF(E103&lt;&gt;"",E103,D103)</f>
        <v/>
      </c>
    </row>
    <row r="104">
      <c r="A104" s="56" t="inlineStr">
        <is>
          <t>10200325 · TDC 2% Sali Cinamide ant</t>
        </is>
      </c>
      <c r="B104" s="34" t="n">
        <v>4.634</v>
      </c>
      <c r="C104" s="16">
        <f>IFERROR(B104/SUM($B$93:$B$132),0)</f>
        <v/>
      </c>
      <c r="D104" s="14">
        <f>C104*$A$4</f>
        <v/>
      </c>
      <c r="E104" s="59" t="n"/>
      <c r="F104" s="14">
        <f>IF(E104&lt;&gt;"",E104,D104)</f>
        <v/>
      </c>
    </row>
    <row r="105">
      <c r="A105" s="56" t="inlineStr">
        <is>
          <t>10101276 · Rice Water Hydrating Bod</t>
        </is>
      </c>
      <c r="B105" s="34" t="n">
        <v>3.919</v>
      </c>
      <c r="C105" s="16">
        <f>IFERROR(B105/SUM($B$93:$B$132),0)</f>
        <v/>
      </c>
      <c r="D105" s="14">
        <f>C105*$A$4</f>
        <v/>
      </c>
      <c r="E105" s="59" t="n"/>
      <c r="F105" s="14">
        <f>IF(E105&lt;&gt;"",E105,D105)</f>
        <v/>
      </c>
    </row>
    <row r="106">
      <c r="A106" s="56" t="inlineStr">
        <is>
          <t>10100912 · Vitamin C Daily Glow Sun</t>
        </is>
      </c>
      <c r="B106" s="34" t="n">
        <v>3.861</v>
      </c>
      <c r="C106" s="16">
        <f>IFERROR(B106/SUM($B$93:$B$132),0)</f>
        <v/>
      </c>
      <c r="D106" s="14">
        <f>C106*$A$4</f>
        <v/>
      </c>
      <c r="E106" s="59" t="n"/>
      <c r="F106" s="14">
        <f>IF(E106&lt;&gt;"",E106,D106)</f>
        <v/>
      </c>
    </row>
    <row r="107">
      <c r="A107" s="56" t="inlineStr">
        <is>
          <t xml:space="preserve">10101166 · Vitamin C Face Wash 150 </t>
        </is>
      </c>
      <c r="B107" s="34" t="n">
        <v>3.787</v>
      </c>
      <c r="C107" s="16">
        <f>IFERROR(B107/SUM($B$93:$B$132),0)</f>
        <v/>
      </c>
      <c r="D107" s="14">
        <f>C107*$A$4</f>
        <v/>
      </c>
      <c r="E107" s="59" t="n"/>
      <c r="F107" s="14">
        <f>IF(E107&lt;&gt;"",E107,D107)</f>
        <v/>
      </c>
    </row>
    <row r="108">
      <c r="A108" s="56" t="inlineStr">
        <is>
          <t>10101208 · Rosemary Anti-Hairfall S</t>
        </is>
      </c>
      <c r="B108" s="34" t="n">
        <v>3.626</v>
      </c>
      <c r="C108" s="16">
        <f>IFERROR(B108/SUM($B$93:$B$132),0)</f>
        <v/>
      </c>
      <c r="D108" s="14">
        <f>C108*$A$4</f>
        <v/>
      </c>
      <c r="E108" s="59" t="n"/>
      <c r="F108" s="14">
        <f>IF(E108&lt;&gt;"",E108,D108)</f>
        <v/>
      </c>
    </row>
    <row r="109">
      <c r="A109" s="56" t="inlineStr">
        <is>
          <t xml:space="preserve">10101275 · Ubtan Moisturizing Body </t>
        </is>
      </c>
      <c r="B109" s="34" t="n">
        <v>3.577</v>
      </c>
      <c r="C109" s="16">
        <f>IFERROR(B109/SUM($B$93:$B$132),0)</f>
        <v/>
      </c>
      <c r="D109" s="14">
        <f>C109*$A$4</f>
        <v/>
      </c>
      <c r="E109" s="59" t="n"/>
      <c r="F109" s="14">
        <f>IF(E109&lt;&gt;"",E109,D109)</f>
        <v/>
      </c>
    </row>
    <row r="110">
      <c r="A110" s="56" t="inlineStr">
        <is>
          <t>10100121 · Vitamin C Face Wash with</t>
        </is>
      </c>
      <c r="B110" s="34" t="n">
        <v>3.401</v>
      </c>
      <c r="C110" s="16">
        <f>IFERROR(B110/SUM($B$93:$B$132),0)</f>
        <v/>
      </c>
      <c r="D110" s="14">
        <f>C110*$A$4</f>
        <v/>
      </c>
      <c r="E110" s="59" t="n"/>
      <c r="F110" s="14">
        <f>IF(E110&lt;&gt;"",E110,D110)</f>
        <v/>
      </c>
    </row>
    <row r="111">
      <c r="A111" s="56" t="inlineStr">
        <is>
          <t>10101274 · Vitamin C Daily Glow Bod</t>
        </is>
      </c>
      <c r="B111" s="34" t="n">
        <v>3.334</v>
      </c>
      <c r="C111" s="16">
        <f>IFERROR(B111/SUM($B$93:$B$132),0)</f>
        <v/>
      </c>
      <c r="D111" s="14">
        <f>C111*$A$4</f>
        <v/>
      </c>
      <c r="E111" s="59" t="n"/>
      <c r="F111" s="14">
        <f>IF(E111&lt;&gt;"",E111,D111)</f>
        <v/>
      </c>
    </row>
    <row r="112">
      <c r="A112" s="56" t="inlineStr">
        <is>
          <t xml:space="preserve">10200214 · 1% Hyaluronic Sunscreen </t>
        </is>
      </c>
      <c r="B112" s="34" t="n">
        <v>3.039</v>
      </c>
      <c r="C112" s="16">
        <f>IFERROR(B112/SUM($B$93:$B$132),0)</f>
        <v/>
      </c>
      <c r="D112" s="14">
        <f>C112*$A$4</f>
        <v/>
      </c>
      <c r="E112" s="59" t="n"/>
      <c r="F112" s="14">
        <f>IF(E112&lt;&gt;"",E112,D112)</f>
        <v/>
      </c>
    </row>
    <row r="113">
      <c r="A113" s="56" t="inlineStr">
        <is>
          <t>10100057 · Moisturizing Bathing Bar</t>
        </is>
      </c>
      <c r="B113" s="34" t="n">
        <v>3.023</v>
      </c>
      <c r="C113" s="16">
        <f>IFERROR(B113/SUM($B$93:$B$132),0)</f>
        <v/>
      </c>
      <c r="D113" s="14">
        <f>C113*$A$4</f>
        <v/>
      </c>
      <c r="E113" s="59" t="n"/>
      <c r="F113" s="14">
        <f>IF(E113&lt;&gt;"",E113,D113)</f>
        <v/>
      </c>
    </row>
    <row r="114">
      <c r="A114" s="56" t="inlineStr">
        <is>
          <t>10200316 · TDC 1% Hyaluronic Sunscr</t>
        </is>
      </c>
      <c r="B114" s="34" t="n">
        <v>2.311</v>
      </c>
      <c r="C114" s="16">
        <f>IFERROR(B114/SUM($B$93:$B$132),0)</f>
        <v/>
      </c>
      <c r="D114" s="14">
        <f>C114*$A$4</f>
        <v/>
      </c>
      <c r="E114" s="59" t="n"/>
      <c r="F114" s="14">
        <f>IF(E114&lt;&gt;"",E114,D114)</f>
        <v/>
      </c>
    </row>
    <row r="115">
      <c r="A115" s="56" t="inlineStr">
        <is>
          <t>10200315 · TDC 1% Kojic Acid Face W</t>
        </is>
      </c>
      <c r="B115" s="34" t="n">
        <v>1.996</v>
      </c>
      <c r="C115" s="16">
        <f>IFERROR(B115/SUM($B$93:$B$132),0)</f>
        <v/>
      </c>
      <c r="D115" s="14">
        <f>C115*$A$4</f>
        <v/>
      </c>
      <c r="E115" s="59" t="n"/>
      <c r="F115" s="14">
        <f>IF(E115&lt;&gt;"",E115,D115)</f>
        <v/>
      </c>
    </row>
    <row r="116">
      <c r="A116" s="56" t="inlineStr">
        <is>
          <t>10300026 · Glow+ Dewy Sunscreen 50g</t>
        </is>
      </c>
      <c r="B116" s="34" t="n">
        <v>1.91</v>
      </c>
      <c r="C116" s="16">
        <f>IFERROR(B116/SUM($B$93:$B$132),0)</f>
        <v/>
      </c>
      <c r="D116" s="14">
        <f>C116*$A$4</f>
        <v/>
      </c>
      <c r="E116" s="59" t="n"/>
      <c r="F116" s="14">
        <f>IF(E116&lt;&gt;"",E116,D116)</f>
        <v/>
      </c>
    </row>
    <row r="117">
      <c r="A117" s="56" t="inlineStr">
        <is>
          <t>10200219 · 1% Kojic Acid Daily Face</t>
        </is>
      </c>
      <c r="B117" s="34" t="n">
        <v>1.771</v>
      </c>
      <c r="C117" s="16">
        <f>IFERROR(B117/SUM($B$93:$B$132),0)</f>
        <v/>
      </c>
      <c r="D117" s="14">
        <f>C117*$A$4</f>
        <v/>
      </c>
      <c r="E117" s="59" t="n"/>
      <c r="F117" s="14">
        <f>IF(E117&lt;&gt;"",E117,D117)</f>
        <v/>
      </c>
    </row>
    <row r="118">
      <c r="A118" s="56" t="inlineStr">
        <is>
          <t>10101112 · Lemon Anti-Dandruff Sham</t>
        </is>
      </c>
      <c r="B118" s="34" t="n">
        <v>1.745</v>
      </c>
      <c r="C118" s="16">
        <f>IFERROR(B118/SUM($B$93:$B$132),0)</f>
        <v/>
      </c>
      <c r="D118" s="14">
        <f>C118*$A$4</f>
        <v/>
      </c>
      <c r="E118" s="59" t="n"/>
      <c r="F118" s="14">
        <f>IF(E118&lt;&gt;"",E118,D118)</f>
        <v/>
      </c>
    </row>
    <row r="119">
      <c r="A119" s="56" t="inlineStr">
        <is>
          <t>10101272 · Rice Face Wash 50 ml</t>
        </is>
      </c>
      <c r="B119" s="34" t="n">
        <v>1.647</v>
      </c>
      <c r="C119" s="16">
        <f>IFERROR(B119/SUM($B$93:$B$132),0)</f>
        <v/>
      </c>
      <c r="D119" s="14">
        <f>C119*$A$4</f>
        <v/>
      </c>
      <c r="E119" s="59" t="n"/>
      <c r="F119" s="14">
        <f>IF(E119&lt;&gt;"",E119,D119)</f>
        <v/>
      </c>
    </row>
    <row r="120">
      <c r="A120" s="56" t="inlineStr">
        <is>
          <t xml:space="preserve">10101273 · Cocoa Rich Moisturizing </t>
        </is>
      </c>
      <c r="B120" s="34" t="n">
        <v>1.554</v>
      </c>
      <c r="C120" s="16">
        <f>IFERROR(B120/SUM($B$93:$B$132),0)</f>
        <v/>
      </c>
      <c r="D120" s="14">
        <f>C120*$A$4</f>
        <v/>
      </c>
      <c r="E120" s="59" t="n"/>
      <c r="F120" s="14">
        <f>IF(E120&lt;&gt;"",E120,D120)</f>
        <v/>
      </c>
    </row>
    <row r="121">
      <c r="A121" s="56" t="inlineStr">
        <is>
          <t>10101090 · Vitamin C Moisturizing L</t>
        </is>
      </c>
      <c r="B121" s="34" t="n">
        <v>1.496</v>
      </c>
      <c r="C121" s="16">
        <f>IFERROR(B121/SUM($B$93:$B$132),0)</f>
        <v/>
      </c>
      <c r="D121" s="14">
        <f>C121*$A$4</f>
        <v/>
      </c>
      <c r="E121" s="59" t="n"/>
      <c r="F121" s="14">
        <f>IF(E121&lt;&gt;"",E121,D121)</f>
        <v/>
      </c>
    </row>
    <row r="122">
      <c r="A122" s="56" t="inlineStr">
        <is>
          <t>10101057 · ME Onion hair oil 200 ml</t>
        </is>
      </c>
      <c r="B122" s="34" t="n">
        <v>1.457</v>
      </c>
      <c r="C122" s="16">
        <f>IFERROR(B122/SUM($B$93:$B$132),0)</f>
        <v/>
      </c>
      <c r="D122" s="14">
        <f>C122*$A$4</f>
        <v/>
      </c>
      <c r="E122" s="59" t="n"/>
      <c r="F122" s="14">
        <f>IF(E122&lt;&gt;"",E122,D122)</f>
        <v/>
      </c>
    </row>
    <row r="123">
      <c r="A123" s="56" t="inlineStr">
        <is>
          <t>10100022 · Gentle Cleansing Shampoo</t>
        </is>
      </c>
      <c r="B123" s="34" t="n">
        <v>1.424</v>
      </c>
      <c r="C123" s="16">
        <f>IFERROR(B123/SUM($B$93:$B$132),0)</f>
        <v/>
      </c>
      <c r="D123" s="14">
        <f>C123*$A$4</f>
        <v/>
      </c>
      <c r="E123" s="59" t="n"/>
      <c r="F123" s="14">
        <f>IF(E123&lt;&gt;"",E123,D123)</f>
        <v/>
      </c>
    </row>
    <row r="124">
      <c r="A124" s="56" t="inlineStr">
        <is>
          <t>10101088 · Ubtan Moisturizing Lotio</t>
        </is>
      </c>
      <c r="B124" s="34" t="n">
        <v>1.403</v>
      </c>
      <c r="C124" s="16">
        <f>IFERROR(B124/SUM($B$93:$B$132),0)</f>
        <v/>
      </c>
      <c r="D124" s="14">
        <f>C124*$A$4</f>
        <v/>
      </c>
      <c r="E124" s="59" t="n"/>
      <c r="F124" s="14">
        <f>IF(E124&lt;&gt;"",E124,D124)</f>
        <v/>
      </c>
    </row>
    <row r="125">
      <c r="A125" s="56" t="inlineStr">
        <is>
          <t>10200005 · 10% Niacinamide Serum 30</t>
        </is>
      </c>
      <c r="B125" s="34" t="n">
        <v>1.397</v>
      </c>
      <c r="C125" s="16">
        <f>IFERROR(B125/SUM($B$93:$B$132),0)</f>
        <v/>
      </c>
      <c r="D125" s="14">
        <f>C125*$A$4</f>
        <v/>
      </c>
      <c r="E125" s="59" t="n"/>
      <c r="F125" s="14">
        <f>IF(E125&lt;&gt;"",E125,D125)</f>
        <v/>
      </c>
    </row>
    <row r="126">
      <c r="A126" s="56" t="inlineStr">
        <is>
          <t xml:space="preserve">10100996 · Rosemary Anti-Hair Fall </t>
        </is>
      </c>
      <c r="B126" s="34" t="n">
        <v>1.357</v>
      </c>
      <c r="C126" s="16">
        <f>IFERROR(B126/SUM($B$93:$B$132),0)</f>
        <v/>
      </c>
      <c r="D126" s="14">
        <f>C126*$A$4</f>
        <v/>
      </c>
      <c r="E126" s="59" t="n"/>
      <c r="F126" s="14">
        <f>IF(E126&lt;&gt;"",E126,D126)</f>
        <v/>
      </c>
    </row>
    <row r="127">
      <c r="A127" s="56" t="inlineStr">
        <is>
          <t>10100077 · Onion Conditioner for Ha</t>
        </is>
      </c>
      <c r="B127" s="34" t="n">
        <v>1.344</v>
      </c>
      <c r="C127" s="16">
        <f>IFERROR(B127/SUM($B$93:$B$132),0)</f>
        <v/>
      </c>
      <c r="D127" s="14">
        <f>C127*$A$4</f>
        <v/>
      </c>
      <c r="E127" s="59" t="n"/>
      <c r="F127" s="14">
        <f>IF(E127&lt;&gt;"",E127,D127)</f>
        <v/>
      </c>
    </row>
    <row r="128">
      <c r="A128" s="56" t="inlineStr">
        <is>
          <t xml:space="preserve">10100955 · Multani Mitti Face Wash </t>
        </is>
      </c>
      <c r="B128" s="34" t="n">
        <v>1.327</v>
      </c>
      <c r="C128" s="16">
        <f>IFERROR(B128/SUM($B$93:$B$132),0)</f>
        <v/>
      </c>
      <c r="D128" s="14">
        <f>C128*$A$4</f>
        <v/>
      </c>
      <c r="E128" s="59" t="n"/>
      <c r="F128" s="14">
        <f>IF(E128&lt;&gt;"",E128,D128)</f>
        <v/>
      </c>
    </row>
    <row r="129">
      <c r="A129" s="56" t="inlineStr">
        <is>
          <t>10101480 · ME Ubtan Natural Glow Fa</t>
        </is>
      </c>
      <c r="B129" s="34" t="n">
        <v>1.323</v>
      </c>
      <c r="C129" s="16">
        <f>IFERROR(B129/SUM($B$93:$B$132),0)</f>
        <v/>
      </c>
      <c r="D129" s="14">
        <f>C129*$A$4</f>
        <v/>
      </c>
      <c r="E129" s="59" t="n"/>
      <c r="F129" s="14">
        <f>IF(E129&lt;&gt;"",E129,D129)</f>
        <v/>
      </c>
    </row>
    <row r="130">
      <c r="A130" s="56" t="inlineStr">
        <is>
          <t xml:space="preserve">10101321 · Beetroot Hydraful Light </t>
        </is>
      </c>
      <c r="B130" s="34" t="n">
        <v>1.295</v>
      </c>
      <c r="C130" s="16">
        <f>IFERROR(B130/SUM($B$93:$B$132),0)</f>
        <v/>
      </c>
      <c r="D130" s="14">
        <f>C130*$A$4</f>
        <v/>
      </c>
      <c r="E130" s="59" t="n"/>
      <c r="F130" s="14">
        <f>IF(E130&lt;&gt;"",E130,D130)</f>
        <v/>
      </c>
    </row>
    <row r="131">
      <c r="A131" s="56" t="inlineStr">
        <is>
          <t xml:space="preserve">10100167 · ME Vitamin C Daily Glow </t>
        </is>
      </c>
      <c r="B131" s="34" t="n">
        <v>1.259</v>
      </c>
      <c r="C131" s="16">
        <f>IFERROR(B131/SUM($B$93:$B$132),0)</f>
        <v/>
      </c>
      <c r="D131" s="14">
        <f>C131*$A$4</f>
        <v/>
      </c>
      <c r="E131" s="59" t="n"/>
      <c r="F131" s="14">
        <f>IF(E131&lt;&gt;"",E131,D131)</f>
        <v/>
      </c>
    </row>
    <row r="132">
      <c r="A132" s="56" t="inlineStr">
        <is>
          <t>10100033 · Charcoal Facewash for oi</t>
        </is>
      </c>
      <c r="B132" s="34" t="n">
        <v>1.191</v>
      </c>
      <c r="C132" s="16">
        <f>IFERROR(B132/SUM($B$93:$B$132),0)</f>
        <v/>
      </c>
      <c r="D132" s="14">
        <f>C132*$A$4</f>
        <v/>
      </c>
      <c r="E132" s="59" t="n"/>
      <c r="F132" s="14">
        <f>IF(E132&lt;&gt;"",E132,D132)</f>
        <v/>
      </c>
    </row>
    <row r="133">
      <c r="A133" s="99" t="inlineStr">
        <is>
          <t>TOTAL</t>
        </is>
      </c>
      <c r="B133" s="18">
        <f>SUM(B93:B132)</f>
        <v/>
      </c>
      <c r="C133" s="73">
        <f>SUM(C93:C132)</f>
        <v/>
      </c>
      <c r="D133" s="18">
        <f>SUM(D93:D132)</f>
        <v/>
      </c>
      <c r="E133" s="99" t="n"/>
      <c r="F133" s="18">
        <f>SUM(F93:F132)</f>
        <v/>
      </c>
    </row>
    <row r="134">
      <c r="A134" s="44" t="inlineStr">
        <is>
          <t>Reconciliation vs company target</t>
        </is>
      </c>
      <c r="E134" s="100" t="inlineStr">
        <is>
          <t>OK if 0 →</t>
        </is>
      </c>
      <c r="F134" s="35">
        <f>F133-$A$4</f>
        <v/>
      </c>
    </row>
  </sheetData>
  <mergeCells count="6">
    <mergeCell ref="A91:H91"/>
    <mergeCell ref="A16:H16"/>
    <mergeCell ref="A2:H2"/>
    <mergeCell ref="A1:H1"/>
    <mergeCell ref="A61:H61"/>
    <mergeCell ref="A6:H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8" customWidth="1" min="3" max="3"/>
    <col width="12" customWidth="1" min="4" max="4"/>
    <col width="13" customWidth="1" min="5" max="5"/>
    <col width="15" customWidth="1" min="6" max="6"/>
    <col width="12" customWidth="1" min="7" max="7"/>
    <col width="13" customWidth="1" min="8" max="8"/>
    <col width="15" customWidth="1" min="9" max="9"/>
    <col width="13" customWidth="1" min="10" max="10"/>
  </cols>
  <sheetData>
    <row r="1" ht="26" customHeight="1">
      <c r="A1" s="1" t="inlineStr">
        <is>
          <t>ADVANCED PRIMARY PLANNING  ·  primary requirement from expected offtake (₹ Cr)</t>
        </is>
      </c>
    </row>
    <row r="2">
      <c r="A2" s="12" t="inlineStr">
        <is>
          <t>Primary = Expected Offtake + Safety Stock + Pipeline + Promo/NPI Loading − Excess − Slow-moving. Expected offtake proxied by the Base forecast (M). Blue cells are planner inputs (stock positions).</t>
        </is>
      </c>
    </row>
    <row r="3" ht="28" customHeight="1">
      <c r="A3" s="5" t="inlineStr">
        <is>
          <t>Brand</t>
        </is>
      </c>
      <c r="B3" s="5" t="inlineStr">
        <is>
          <t>Category</t>
        </is>
      </c>
      <c r="C3" s="5" t="inlineStr">
        <is>
          <t>Expected Offtake (Base M)</t>
        </is>
      </c>
      <c r="D3" s="5" t="inlineStr">
        <is>
          <t>Safety Stock</t>
        </is>
      </c>
      <c r="E3" s="5" t="inlineStr">
        <is>
          <t>Pipeline Stock</t>
        </is>
      </c>
      <c r="F3" s="5" t="inlineStr">
        <is>
          <t>Promo/NPI Loading</t>
        </is>
      </c>
      <c r="G3" s="5" t="inlineStr">
        <is>
          <t>− Excess Inv</t>
        </is>
      </c>
      <c r="H3" s="5" t="inlineStr">
        <is>
          <t>− Slow-moving</t>
        </is>
      </c>
      <c r="I3" s="5" t="inlineStr">
        <is>
          <t>Suggested Primary</t>
        </is>
      </c>
      <c r="J3" s="5" t="inlineStr">
        <is>
          <t>vs Base Fcst</t>
        </is>
      </c>
    </row>
    <row r="4">
      <c r="A4" s="56" t="inlineStr">
        <is>
          <t>Mamaearth</t>
        </is>
      </c>
      <c r="B4" s="56" t="inlineStr">
        <is>
          <t>Face</t>
        </is>
      </c>
      <c r="C4" s="14">
        <f>IFERROR(SUMIFS('Forecast Engine'!$AK$4:$AK$12,'Forecast Engine'!$A$4:$A$12,$A4,'Forecast Engine'!$B$4:$B$12,$B4),0)</f>
        <v/>
      </c>
      <c r="D4" s="59" t="n">
        <v>0.5</v>
      </c>
      <c r="E4" s="59" t="n">
        <v>0.3</v>
      </c>
      <c r="F4" s="59" t="n">
        <v>0</v>
      </c>
      <c r="G4" s="59" t="n">
        <v>0.2</v>
      </c>
      <c r="H4" s="59" t="n">
        <v>0.1</v>
      </c>
      <c r="I4" s="35">
        <f>MAX(0,C4+D4+E4+F4-G4-H4)</f>
        <v/>
      </c>
      <c r="J4" s="14">
        <f>I4-C4</f>
        <v/>
      </c>
    </row>
    <row r="5">
      <c r="A5" s="56" t="inlineStr">
        <is>
          <t>Mamaearth</t>
        </is>
      </c>
      <c r="B5" s="56" t="inlineStr">
        <is>
          <t>Hair</t>
        </is>
      </c>
      <c r="C5" s="14">
        <f>IFERROR(SUMIFS('Forecast Engine'!$AK$4:$AK$12,'Forecast Engine'!$A$4:$A$12,$A5,'Forecast Engine'!$B$4:$B$12,$B5),0)</f>
        <v/>
      </c>
      <c r="D5" s="59" t="n">
        <v>0.5</v>
      </c>
      <c r="E5" s="59" t="n">
        <v>0.3</v>
      </c>
      <c r="F5" s="59" t="n">
        <v>0</v>
      </c>
      <c r="G5" s="59" t="n">
        <v>0.2</v>
      </c>
      <c r="H5" s="59" t="n">
        <v>0.1</v>
      </c>
      <c r="I5" s="35">
        <f>MAX(0,C5+D5+E5+F5-G5-H5)</f>
        <v/>
      </c>
      <c r="J5" s="14">
        <f>I5-C5</f>
        <v/>
      </c>
    </row>
    <row r="6">
      <c r="A6" s="56" t="inlineStr">
        <is>
          <t>The Derma Co.</t>
        </is>
      </c>
      <c r="B6" s="56" t="inlineStr">
        <is>
          <t>Face</t>
        </is>
      </c>
      <c r="C6" s="14">
        <f>IFERROR(SUMIFS('Forecast Engine'!$AK$4:$AK$12,'Forecast Engine'!$A$4:$A$12,$A6,'Forecast Engine'!$B$4:$B$12,$B6),0)</f>
        <v/>
      </c>
      <c r="D6" s="59" t="n">
        <v>0.5</v>
      </c>
      <c r="E6" s="59" t="n">
        <v>0.3</v>
      </c>
      <c r="F6" s="59" t="n">
        <v>0</v>
      </c>
      <c r="G6" s="59" t="n">
        <v>0.2</v>
      </c>
      <c r="H6" s="59" t="n">
        <v>0.1</v>
      </c>
      <c r="I6" s="35">
        <f>MAX(0,C6+D6+E6+F6-G6-H6)</f>
        <v/>
      </c>
      <c r="J6" s="14">
        <f>I6-C6</f>
        <v/>
      </c>
    </row>
    <row r="7">
      <c r="A7" s="56" t="inlineStr">
        <is>
          <t>Mamaearth</t>
        </is>
      </c>
      <c r="B7" s="56" t="inlineStr">
        <is>
          <t>Body</t>
        </is>
      </c>
      <c r="C7" s="14">
        <f>IFERROR(SUMIFS('Forecast Engine'!$AK$4:$AK$12,'Forecast Engine'!$A$4:$A$12,$A7,'Forecast Engine'!$B$4:$B$12,$B7),0)</f>
        <v/>
      </c>
      <c r="D7" s="59" t="n">
        <v>0.5</v>
      </c>
      <c r="E7" s="59" t="n">
        <v>0.3</v>
      </c>
      <c r="F7" s="59" t="n">
        <v>0</v>
      </c>
      <c r="G7" s="59" t="n">
        <v>0.2</v>
      </c>
      <c r="H7" s="59" t="n">
        <v>0.1</v>
      </c>
      <c r="I7" s="35">
        <f>MAX(0,C7+D7+E7+F7-G7-H7)</f>
        <v/>
      </c>
      <c r="J7" s="14">
        <f>I7-C7</f>
        <v/>
      </c>
    </row>
    <row r="8">
      <c r="A8" s="56" t="inlineStr">
        <is>
          <t>Mamaearth</t>
        </is>
      </c>
      <c r="B8" s="56" t="inlineStr">
        <is>
          <t>Baby</t>
        </is>
      </c>
      <c r="C8" s="14">
        <f>IFERROR(SUMIFS('Forecast Engine'!$AK$4:$AK$12,'Forecast Engine'!$A$4:$A$12,$A8,'Forecast Engine'!$B$4:$B$12,$B8),0)</f>
        <v/>
      </c>
      <c r="D8" s="59" t="n">
        <v>0.5</v>
      </c>
      <c r="E8" s="59" t="n">
        <v>0.3</v>
      </c>
      <c r="F8" s="59" t="n">
        <v>0</v>
      </c>
      <c r="G8" s="59" t="n">
        <v>0.2</v>
      </c>
      <c r="H8" s="59" t="n">
        <v>0.1</v>
      </c>
      <c r="I8" s="35">
        <f>MAX(0,C8+D8+E8+F8-G8-H8)</f>
        <v/>
      </c>
      <c r="J8" s="14">
        <f>I8-C8</f>
        <v/>
      </c>
    </row>
    <row r="9">
      <c r="A9" s="56" t="inlineStr">
        <is>
          <t>Aqualogica</t>
        </is>
      </c>
      <c r="B9" s="56" t="inlineStr">
        <is>
          <t>Face</t>
        </is>
      </c>
      <c r="C9" s="14">
        <f>IFERROR(SUMIFS('Forecast Engine'!$AK$4:$AK$12,'Forecast Engine'!$A$4:$A$12,$A9,'Forecast Engine'!$B$4:$B$12,$B9),0)</f>
        <v/>
      </c>
      <c r="D9" s="59" t="n">
        <v>0.5</v>
      </c>
      <c r="E9" s="59" t="n">
        <v>0.3</v>
      </c>
      <c r="F9" s="59" t="n">
        <v>0</v>
      </c>
      <c r="G9" s="59" t="n">
        <v>0.2</v>
      </c>
      <c r="H9" s="59" t="n">
        <v>0.1</v>
      </c>
      <c r="I9" s="35">
        <f>MAX(0,C9+D9+E9+F9-G9-H9)</f>
        <v/>
      </c>
      <c r="J9" s="14">
        <f>I9-C9</f>
        <v/>
      </c>
    </row>
    <row r="10">
      <c r="A10" s="56" t="inlineStr">
        <is>
          <t>BBLUNT</t>
        </is>
      </c>
      <c r="B10" s="56" t="inlineStr">
        <is>
          <t>Hair Care</t>
        </is>
      </c>
      <c r="C10" s="14">
        <f>IFERROR(SUMIFS('Forecast Engine'!$AK$4:$AK$12,'Forecast Engine'!$A$4:$A$12,$A10,'Forecast Engine'!$B$4:$B$12,$B10),0)</f>
        <v/>
      </c>
      <c r="D10" s="59" t="n">
        <v>0.5</v>
      </c>
      <c r="E10" s="59" t="n">
        <v>0.3</v>
      </c>
      <c r="F10" s="59" t="n">
        <v>0</v>
      </c>
      <c r="G10" s="59" t="n">
        <v>0.2</v>
      </c>
      <c r="H10" s="59" t="n">
        <v>0.1</v>
      </c>
      <c r="I10" s="35">
        <f>MAX(0,C10+D10+E10+F10-G10-H10)</f>
        <v/>
      </c>
      <c r="J10" s="14">
        <f>I10-C10</f>
        <v/>
      </c>
    </row>
    <row r="11">
      <c r="A11" s="56" t="inlineStr">
        <is>
          <t>Mamaearth</t>
        </is>
      </c>
      <c r="B11" s="56" t="inlineStr">
        <is>
          <t>Fragrances</t>
        </is>
      </c>
      <c r="C11" s="14">
        <f>IFERROR(SUMIFS('Forecast Engine'!$AK$4:$AK$12,'Forecast Engine'!$A$4:$A$12,$A11,'Forecast Engine'!$B$4:$B$12,$B11),0)</f>
        <v/>
      </c>
      <c r="D11" s="59" t="n">
        <v>0.5</v>
      </c>
      <c r="E11" s="59" t="n">
        <v>0.3</v>
      </c>
      <c r="F11" s="59" t="n">
        <v>0</v>
      </c>
      <c r="G11" s="59" t="n">
        <v>0.2</v>
      </c>
      <c r="H11" s="59" t="n">
        <v>0.1</v>
      </c>
      <c r="I11" s="35">
        <f>MAX(0,C11+D11+E11+F11-G11-H11)</f>
        <v/>
      </c>
      <c r="J11" s="14">
        <f>I11-C11</f>
        <v/>
      </c>
    </row>
    <row r="12">
      <c r="A12" s="56" t="inlineStr">
        <is>
          <t>BBLUNT</t>
        </is>
      </c>
      <c r="B12" s="56" t="inlineStr">
        <is>
          <t>Styling Products</t>
        </is>
      </c>
      <c r="C12" s="14">
        <f>IFERROR(SUMIFS('Forecast Engine'!$AK$4:$AK$12,'Forecast Engine'!$A$4:$A$12,$A12,'Forecast Engine'!$B$4:$B$12,$B12),0)</f>
        <v/>
      </c>
      <c r="D12" s="59" t="n">
        <v>0.5</v>
      </c>
      <c r="E12" s="59" t="n">
        <v>0.3</v>
      </c>
      <c r="F12" s="59" t="n">
        <v>0</v>
      </c>
      <c r="G12" s="59" t="n">
        <v>0.2</v>
      </c>
      <c r="H12" s="59" t="n">
        <v>0.1</v>
      </c>
      <c r="I12" s="35">
        <f>MAX(0,C12+D12+E12+F12-G12-H12)</f>
        <v/>
      </c>
      <c r="J12" s="14">
        <f>I12-C12</f>
        <v/>
      </c>
    </row>
    <row r="13">
      <c r="A13" s="38" t="inlineStr">
        <is>
          <t>TOTAL</t>
        </is>
      </c>
      <c r="B13" s="4" t="n"/>
      <c r="C13" s="18">
        <f>SUM(C4:C12)</f>
        <v/>
      </c>
      <c r="D13" s="18">
        <f>SUM(D4:D12)</f>
        <v/>
      </c>
      <c r="E13" s="18">
        <f>SUM(E4:E12)</f>
        <v/>
      </c>
      <c r="F13" s="18">
        <f>SUM(F4:F12)</f>
        <v/>
      </c>
      <c r="G13" s="18">
        <f>SUM(G4:G12)</f>
        <v/>
      </c>
      <c r="H13" s="18">
        <f>SUM(H4:H12)</f>
        <v/>
      </c>
      <c r="I13" s="18">
        <f>SUM(I4:I12)</f>
        <v/>
      </c>
      <c r="J13" s="18">
        <f>SUM(J4:J12)</f>
        <v/>
      </c>
    </row>
  </sheetData>
  <mergeCells count="2">
    <mergeCell ref="A2:L2"/>
    <mergeCell ref="A1:L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5" customWidth="1" min="3" max="3"/>
    <col width="13" customWidth="1" min="4" max="4"/>
    <col width="11" customWidth="1" min="5" max="5"/>
    <col width="13" customWidth="1" min="6" max="6"/>
    <col width="13" customWidth="1" min="7" max="7"/>
    <col width="15" customWidth="1" min="8" max="8"/>
    <col width="17" customWidth="1" min="9" max="9"/>
  </cols>
  <sheetData>
    <row r="1" ht="26" customHeight="1">
      <c r="A1" s="1" t="inlineStr">
        <is>
          <t>DISTRIBUTOR INTELLIGENCE  ·  auto-classification from service &amp; growth signals</t>
        </is>
      </c>
    </row>
    <row r="2">
      <c r="A2" s="12" t="inlineStr">
        <is>
          <t>Classifications derive by formula from Distributor Master inputs (growth, fill rate, service level, inventory days). Use these tags to bias allocation &amp; follow-up.</t>
        </is>
      </c>
    </row>
    <row r="3" ht="28" customHeight="1">
      <c r="A3" s="5" t="inlineStr">
        <is>
          <t>Distributor</t>
        </is>
      </c>
      <c r="B3" s="5" t="inlineStr">
        <is>
          <t>Zone</t>
        </is>
      </c>
      <c r="C3" s="5" t="inlineStr">
        <is>
          <t>Primary NSV (₹ Cr)</t>
        </is>
      </c>
      <c r="D3" s="5" t="inlineStr">
        <is>
          <t>Recent Growth %</t>
        </is>
      </c>
      <c r="E3" s="5" t="inlineStr">
        <is>
          <t>Fill Rate %</t>
        </is>
      </c>
      <c r="F3" s="5" t="inlineStr">
        <is>
          <t>Service Level %</t>
        </is>
      </c>
      <c r="G3" s="5" t="inlineStr">
        <is>
          <t>Inventory Days</t>
        </is>
      </c>
      <c r="H3" s="5" t="inlineStr">
        <is>
          <t>Growth Class</t>
        </is>
      </c>
      <c r="I3" s="5" t="inlineStr">
        <is>
          <t>Risk Class</t>
        </is>
      </c>
    </row>
    <row r="4">
      <c r="A4" s="31">
        <f>'Distributor Master'!$A$4</f>
        <v/>
      </c>
      <c r="B4" s="101">
        <f>'Distributor Master'!$C$4</f>
        <v/>
      </c>
      <c r="C4" s="14">
        <f>'Distributor Master'!$D$4</f>
        <v/>
      </c>
      <c r="D4" s="16">
        <f>'Distributor Master'!$K$4</f>
        <v/>
      </c>
      <c r="E4" s="16">
        <f>'Distributor Master'!$I$4</f>
        <v/>
      </c>
      <c r="F4" s="16">
        <f>'Distributor Master'!$H$4</f>
        <v/>
      </c>
      <c r="G4" s="4">
        <f>'Distributor Master'!$J$4</f>
        <v/>
      </c>
      <c r="H4" s="31">
        <f>IF(D4&gt;=0.2,"Fast Growing",IF(D4&gt;=0.05,"Stable",IF(D4&gt;=-0.05,"Flat","Declining")))</f>
        <v/>
      </c>
      <c r="I4" s="31">
        <f>IF(OR(E4&lt;0.85,F4&lt;0.9),"High Service Risk",IF(G4&gt;=45,"High Inventory",IF(G4&lt;=25,"Low Inventory","Healthy")))</f>
        <v/>
      </c>
    </row>
    <row r="5">
      <c r="A5" s="31">
        <f>'Distributor Master'!$A$5</f>
        <v/>
      </c>
      <c r="B5" s="101">
        <f>'Distributor Master'!$C$5</f>
        <v/>
      </c>
      <c r="C5" s="14">
        <f>'Distributor Master'!$D$5</f>
        <v/>
      </c>
      <c r="D5" s="16">
        <f>'Distributor Master'!$K$5</f>
        <v/>
      </c>
      <c r="E5" s="16">
        <f>'Distributor Master'!$I$5</f>
        <v/>
      </c>
      <c r="F5" s="16">
        <f>'Distributor Master'!$H$5</f>
        <v/>
      </c>
      <c r="G5" s="4">
        <f>'Distributor Master'!$J$5</f>
        <v/>
      </c>
      <c r="H5" s="31">
        <f>IF(D5&gt;=0.2,"Fast Growing",IF(D5&gt;=0.05,"Stable",IF(D5&gt;=-0.05,"Flat","Declining")))</f>
        <v/>
      </c>
      <c r="I5" s="31">
        <f>IF(OR(E5&lt;0.85,F5&lt;0.9),"High Service Risk",IF(G5&gt;=45,"High Inventory",IF(G5&lt;=25,"Low Inventory","Healthy")))</f>
        <v/>
      </c>
    </row>
    <row r="6">
      <c r="A6" s="31">
        <f>'Distributor Master'!$A$6</f>
        <v/>
      </c>
      <c r="B6" s="101">
        <f>'Distributor Master'!$C$6</f>
        <v/>
      </c>
      <c r="C6" s="14">
        <f>'Distributor Master'!$D$6</f>
        <v/>
      </c>
      <c r="D6" s="16">
        <f>'Distributor Master'!$K$6</f>
        <v/>
      </c>
      <c r="E6" s="16">
        <f>'Distributor Master'!$I$6</f>
        <v/>
      </c>
      <c r="F6" s="16">
        <f>'Distributor Master'!$H$6</f>
        <v/>
      </c>
      <c r="G6" s="4">
        <f>'Distributor Master'!$J$6</f>
        <v/>
      </c>
      <c r="H6" s="31">
        <f>IF(D6&gt;=0.2,"Fast Growing",IF(D6&gt;=0.05,"Stable",IF(D6&gt;=-0.05,"Flat","Declining")))</f>
        <v/>
      </c>
      <c r="I6" s="31">
        <f>IF(OR(E6&lt;0.85,F6&lt;0.9),"High Service Risk",IF(G6&gt;=45,"High Inventory",IF(G6&lt;=25,"Low Inventory","Healthy")))</f>
        <v/>
      </c>
    </row>
    <row r="7">
      <c r="A7" s="31">
        <f>'Distributor Master'!$A$7</f>
        <v/>
      </c>
      <c r="B7" s="101">
        <f>'Distributor Master'!$C$7</f>
        <v/>
      </c>
      <c r="C7" s="14">
        <f>'Distributor Master'!$D$7</f>
        <v/>
      </c>
      <c r="D7" s="16">
        <f>'Distributor Master'!$K$7</f>
        <v/>
      </c>
      <c r="E7" s="16">
        <f>'Distributor Master'!$I$7</f>
        <v/>
      </c>
      <c r="F7" s="16">
        <f>'Distributor Master'!$H$7</f>
        <v/>
      </c>
      <c r="G7" s="4">
        <f>'Distributor Master'!$J$7</f>
        <v/>
      </c>
      <c r="H7" s="31">
        <f>IF(D7&gt;=0.2,"Fast Growing",IF(D7&gt;=0.05,"Stable",IF(D7&gt;=-0.05,"Flat","Declining")))</f>
        <v/>
      </c>
      <c r="I7" s="31">
        <f>IF(OR(E7&lt;0.85,F7&lt;0.9),"High Service Risk",IF(G7&gt;=45,"High Inventory",IF(G7&lt;=25,"Low Inventory","Healthy")))</f>
        <v/>
      </c>
    </row>
    <row r="8">
      <c r="A8" s="31">
        <f>'Distributor Master'!$A$8</f>
        <v/>
      </c>
      <c r="B8" s="101">
        <f>'Distributor Master'!$C$8</f>
        <v/>
      </c>
      <c r="C8" s="14">
        <f>'Distributor Master'!$D$8</f>
        <v/>
      </c>
      <c r="D8" s="16">
        <f>'Distributor Master'!$K$8</f>
        <v/>
      </c>
      <c r="E8" s="16">
        <f>'Distributor Master'!$I$8</f>
        <v/>
      </c>
      <c r="F8" s="16">
        <f>'Distributor Master'!$H$8</f>
        <v/>
      </c>
      <c r="G8" s="4">
        <f>'Distributor Master'!$J$8</f>
        <v/>
      </c>
      <c r="H8" s="31">
        <f>IF(D8&gt;=0.2,"Fast Growing",IF(D8&gt;=0.05,"Stable",IF(D8&gt;=-0.05,"Flat","Declining")))</f>
        <v/>
      </c>
      <c r="I8" s="31">
        <f>IF(OR(E8&lt;0.85,F8&lt;0.9),"High Service Risk",IF(G8&gt;=45,"High Inventory",IF(G8&lt;=25,"Low Inventory","Healthy")))</f>
        <v/>
      </c>
    </row>
    <row r="9">
      <c r="A9" s="31">
        <f>'Distributor Master'!$A$9</f>
        <v/>
      </c>
      <c r="B9" s="101">
        <f>'Distributor Master'!$C$9</f>
        <v/>
      </c>
      <c r="C9" s="14">
        <f>'Distributor Master'!$D$9</f>
        <v/>
      </c>
      <c r="D9" s="16">
        <f>'Distributor Master'!$K$9</f>
        <v/>
      </c>
      <c r="E9" s="16">
        <f>'Distributor Master'!$I$9</f>
        <v/>
      </c>
      <c r="F9" s="16">
        <f>'Distributor Master'!$H$9</f>
        <v/>
      </c>
      <c r="G9" s="4">
        <f>'Distributor Master'!$J$9</f>
        <v/>
      </c>
      <c r="H9" s="31">
        <f>IF(D9&gt;=0.2,"Fast Growing",IF(D9&gt;=0.05,"Stable",IF(D9&gt;=-0.05,"Flat","Declining")))</f>
        <v/>
      </c>
      <c r="I9" s="31">
        <f>IF(OR(E9&lt;0.85,F9&lt;0.9),"High Service Risk",IF(G9&gt;=45,"High Inventory",IF(G9&lt;=25,"Low Inventory","Healthy")))</f>
        <v/>
      </c>
    </row>
    <row r="10">
      <c r="A10" s="31">
        <f>'Distributor Master'!$A$10</f>
        <v/>
      </c>
      <c r="B10" s="101">
        <f>'Distributor Master'!$C$10</f>
        <v/>
      </c>
      <c r="C10" s="14">
        <f>'Distributor Master'!$D$10</f>
        <v/>
      </c>
      <c r="D10" s="16">
        <f>'Distributor Master'!$K$10</f>
        <v/>
      </c>
      <c r="E10" s="16">
        <f>'Distributor Master'!$I$10</f>
        <v/>
      </c>
      <c r="F10" s="16">
        <f>'Distributor Master'!$H$10</f>
        <v/>
      </c>
      <c r="G10" s="4">
        <f>'Distributor Master'!$J$10</f>
        <v/>
      </c>
      <c r="H10" s="31">
        <f>IF(D10&gt;=0.2,"Fast Growing",IF(D10&gt;=0.05,"Stable",IF(D10&gt;=-0.05,"Flat","Declining")))</f>
        <v/>
      </c>
      <c r="I10" s="31">
        <f>IF(OR(E10&lt;0.85,F10&lt;0.9),"High Service Risk",IF(G10&gt;=45,"High Inventory",IF(G10&lt;=25,"Low Inventory","Healthy")))</f>
        <v/>
      </c>
    </row>
    <row r="11">
      <c r="A11" s="31">
        <f>'Distributor Master'!$A$11</f>
        <v/>
      </c>
      <c r="B11" s="101">
        <f>'Distributor Master'!$C$11</f>
        <v/>
      </c>
      <c r="C11" s="14">
        <f>'Distributor Master'!$D$11</f>
        <v/>
      </c>
      <c r="D11" s="16">
        <f>'Distributor Master'!$K$11</f>
        <v/>
      </c>
      <c r="E11" s="16">
        <f>'Distributor Master'!$I$11</f>
        <v/>
      </c>
      <c r="F11" s="16">
        <f>'Distributor Master'!$H$11</f>
        <v/>
      </c>
      <c r="G11" s="4">
        <f>'Distributor Master'!$J$11</f>
        <v/>
      </c>
      <c r="H11" s="31">
        <f>IF(D11&gt;=0.2,"Fast Growing",IF(D11&gt;=0.05,"Stable",IF(D11&gt;=-0.05,"Flat","Declining")))</f>
        <v/>
      </c>
      <c r="I11" s="31">
        <f>IF(OR(E11&lt;0.85,F11&lt;0.9),"High Service Risk",IF(G11&gt;=45,"High Inventory",IF(G11&lt;=25,"Low Inventory","Healthy")))</f>
        <v/>
      </c>
    </row>
    <row r="12">
      <c r="A12" s="31">
        <f>'Distributor Master'!$A$12</f>
        <v/>
      </c>
      <c r="B12" s="101">
        <f>'Distributor Master'!$C$12</f>
        <v/>
      </c>
      <c r="C12" s="14">
        <f>'Distributor Master'!$D$12</f>
        <v/>
      </c>
      <c r="D12" s="16">
        <f>'Distributor Master'!$K$12</f>
        <v/>
      </c>
      <c r="E12" s="16">
        <f>'Distributor Master'!$I$12</f>
        <v/>
      </c>
      <c r="F12" s="16">
        <f>'Distributor Master'!$H$12</f>
        <v/>
      </c>
      <c r="G12" s="4">
        <f>'Distributor Master'!$J$12</f>
        <v/>
      </c>
      <c r="H12" s="31">
        <f>IF(D12&gt;=0.2,"Fast Growing",IF(D12&gt;=0.05,"Stable",IF(D12&gt;=-0.05,"Flat","Declining")))</f>
        <v/>
      </c>
      <c r="I12" s="31">
        <f>IF(OR(E12&lt;0.85,F12&lt;0.9),"High Service Risk",IF(G12&gt;=45,"High Inventory",IF(G12&lt;=25,"Low Inventory","Healthy")))</f>
        <v/>
      </c>
    </row>
    <row r="13">
      <c r="A13" s="31">
        <f>'Distributor Master'!$A$13</f>
        <v/>
      </c>
      <c r="B13" s="101">
        <f>'Distributor Master'!$C$13</f>
        <v/>
      </c>
      <c r="C13" s="14">
        <f>'Distributor Master'!$D$13</f>
        <v/>
      </c>
      <c r="D13" s="16">
        <f>'Distributor Master'!$K$13</f>
        <v/>
      </c>
      <c r="E13" s="16">
        <f>'Distributor Master'!$I$13</f>
        <v/>
      </c>
      <c r="F13" s="16">
        <f>'Distributor Master'!$H$13</f>
        <v/>
      </c>
      <c r="G13" s="4">
        <f>'Distributor Master'!$J$13</f>
        <v/>
      </c>
      <c r="H13" s="31">
        <f>IF(D13&gt;=0.2,"Fast Growing",IF(D13&gt;=0.05,"Stable",IF(D13&gt;=-0.05,"Flat","Declining")))</f>
        <v/>
      </c>
      <c r="I13" s="31">
        <f>IF(OR(E13&lt;0.85,F13&lt;0.9),"High Service Risk",IF(G13&gt;=45,"High Inventory",IF(G13&lt;=25,"Low Inventory","Healthy")))</f>
        <v/>
      </c>
    </row>
    <row r="14">
      <c r="A14" s="31">
        <f>'Distributor Master'!$A$14</f>
        <v/>
      </c>
      <c r="B14" s="101">
        <f>'Distributor Master'!$C$14</f>
        <v/>
      </c>
      <c r="C14" s="14">
        <f>'Distributor Master'!$D$14</f>
        <v/>
      </c>
      <c r="D14" s="16">
        <f>'Distributor Master'!$K$14</f>
        <v/>
      </c>
      <c r="E14" s="16">
        <f>'Distributor Master'!$I$14</f>
        <v/>
      </c>
      <c r="F14" s="16">
        <f>'Distributor Master'!$H$14</f>
        <v/>
      </c>
      <c r="G14" s="4">
        <f>'Distributor Master'!$J$14</f>
        <v/>
      </c>
      <c r="H14" s="31">
        <f>IF(D14&gt;=0.2,"Fast Growing",IF(D14&gt;=0.05,"Stable",IF(D14&gt;=-0.05,"Flat","Declining")))</f>
        <v/>
      </c>
      <c r="I14" s="31">
        <f>IF(OR(E14&lt;0.85,F14&lt;0.9),"High Service Risk",IF(G14&gt;=45,"High Inventory",IF(G14&lt;=25,"Low Inventory","Healthy")))</f>
        <v/>
      </c>
    </row>
    <row r="15">
      <c r="A15" s="31">
        <f>'Distributor Master'!$A$15</f>
        <v/>
      </c>
      <c r="B15" s="101">
        <f>'Distributor Master'!$C$15</f>
        <v/>
      </c>
      <c r="C15" s="14">
        <f>'Distributor Master'!$D$15</f>
        <v/>
      </c>
      <c r="D15" s="16">
        <f>'Distributor Master'!$K$15</f>
        <v/>
      </c>
      <c r="E15" s="16">
        <f>'Distributor Master'!$I$15</f>
        <v/>
      </c>
      <c r="F15" s="16">
        <f>'Distributor Master'!$H$15</f>
        <v/>
      </c>
      <c r="G15" s="4">
        <f>'Distributor Master'!$J$15</f>
        <v/>
      </c>
      <c r="H15" s="31">
        <f>IF(D15&gt;=0.2,"Fast Growing",IF(D15&gt;=0.05,"Stable",IF(D15&gt;=-0.05,"Flat","Declining")))</f>
        <v/>
      </c>
      <c r="I15" s="31">
        <f>IF(OR(E15&lt;0.85,F15&lt;0.9),"High Service Risk",IF(G15&gt;=45,"High Inventory",IF(G15&lt;=25,"Low Inventory","Healthy")))</f>
        <v/>
      </c>
    </row>
    <row r="16">
      <c r="A16" s="31">
        <f>'Distributor Master'!$A$16</f>
        <v/>
      </c>
      <c r="B16" s="101">
        <f>'Distributor Master'!$C$16</f>
        <v/>
      </c>
      <c r="C16" s="14">
        <f>'Distributor Master'!$D$16</f>
        <v/>
      </c>
      <c r="D16" s="16">
        <f>'Distributor Master'!$K$16</f>
        <v/>
      </c>
      <c r="E16" s="16">
        <f>'Distributor Master'!$I$16</f>
        <v/>
      </c>
      <c r="F16" s="16">
        <f>'Distributor Master'!$H$16</f>
        <v/>
      </c>
      <c r="G16" s="4">
        <f>'Distributor Master'!$J$16</f>
        <v/>
      </c>
      <c r="H16" s="31">
        <f>IF(D16&gt;=0.2,"Fast Growing",IF(D16&gt;=0.05,"Stable",IF(D16&gt;=-0.05,"Flat","Declining")))</f>
        <v/>
      </c>
      <c r="I16" s="31">
        <f>IF(OR(E16&lt;0.85,F16&lt;0.9),"High Service Risk",IF(G16&gt;=45,"High Inventory",IF(G16&lt;=25,"Low Inventory","Healthy")))</f>
        <v/>
      </c>
    </row>
    <row r="17">
      <c r="A17" s="31">
        <f>'Distributor Master'!$A$17</f>
        <v/>
      </c>
      <c r="B17" s="101">
        <f>'Distributor Master'!$C$17</f>
        <v/>
      </c>
      <c r="C17" s="14">
        <f>'Distributor Master'!$D$17</f>
        <v/>
      </c>
      <c r="D17" s="16">
        <f>'Distributor Master'!$K$17</f>
        <v/>
      </c>
      <c r="E17" s="16">
        <f>'Distributor Master'!$I$17</f>
        <v/>
      </c>
      <c r="F17" s="16">
        <f>'Distributor Master'!$H$17</f>
        <v/>
      </c>
      <c r="G17" s="4">
        <f>'Distributor Master'!$J$17</f>
        <v/>
      </c>
      <c r="H17" s="31">
        <f>IF(D17&gt;=0.2,"Fast Growing",IF(D17&gt;=0.05,"Stable",IF(D17&gt;=-0.05,"Flat","Declining")))</f>
        <v/>
      </c>
      <c r="I17" s="31">
        <f>IF(OR(E17&lt;0.85,F17&lt;0.9),"High Service Risk",IF(G17&gt;=45,"High Inventory",IF(G17&lt;=25,"Low Inventory","Healthy")))</f>
        <v/>
      </c>
    </row>
    <row r="18">
      <c r="A18" s="31">
        <f>'Distributor Master'!$A$18</f>
        <v/>
      </c>
      <c r="B18" s="101">
        <f>'Distributor Master'!$C$18</f>
        <v/>
      </c>
      <c r="C18" s="14">
        <f>'Distributor Master'!$D$18</f>
        <v/>
      </c>
      <c r="D18" s="16">
        <f>'Distributor Master'!$K$18</f>
        <v/>
      </c>
      <c r="E18" s="16">
        <f>'Distributor Master'!$I$18</f>
        <v/>
      </c>
      <c r="F18" s="16">
        <f>'Distributor Master'!$H$18</f>
        <v/>
      </c>
      <c r="G18" s="4">
        <f>'Distributor Master'!$J$18</f>
        <v/>
      </c>
      <c r="H18" s="31">
        <f>IF(D18&gt;=0.2,"Fast Growing",IF(D18&gt;=0.05,"Stable",IF(D18&gt;=-0.05,"Flat","Declining")))</f>
        <v/>
      </c>
      <c r="I18" s="31">
        <f>IF(OR(E18&lt;0.85,F18&lt;0.9),"High Service Risk",IF(G18&gt;=45,"High Inventory",IF(G18&lt;=25,"Low Inventory","Healthy")))</f>
        <v/>
      </c>
    </row>
    <row r="19">
      <c r="A19" s="31">
        <f>'Distributor Master'!$A$19</f>
        <v/>
      </c>
      <c r="B19" s="101">
        <f>'Distributor Master'!$C$19</f>
        <v/>
      </c>
      <c r="C19" s="14">
        <f>'Distributor Master'!$D$19</f>
        <v/>
      </c>
      <c r="D19" s="16">
        <f>'Distributor Master'!$K$19</f>
        <v/>
      </c>
      <c r="E19" s="16">
        <f>'Distributor Master'!$I$19</f>
        <v/>
      </c>
      <c r="F19" s="16">
        <f>'Distributor Master'!$H$19</f>
        <v/>
      </c>
      <c r="G19" s="4">
        <f>'Distributor Master'!$J$19</f>
        <v/>
      </c>
      <c r="H19" s="31">
        <f>IF(D19&gt;=0.2,"Fast Growing",IF(D19&gt;=0.05,"Stable",IF(D19&gt;=-0.05,"Flat","Declining")))</f>
        <v/>
      </c>
      <c r="I19" s="31">
        <f>IF(OR(E19&lt;0.85,F19&lt;0.9),"High Service Risk",IF(G19&gt;=45,"High Inventory",IF(G19&lt;=25,"Low Inventory","Healthy")))</f>
        <v/>
      </c>
    </row>
    <row r="20">
      <c r="A20" s="31">
        <f>'Distributor Master'!$A$20</f>
        <v/>
      </c>
      <c r="B20" s="101">
        <f>'Distributor Master'!$C$20</f>
        <v/>
      </c>
      <c r="C20" s="14">
        <f>'Distributor Master'!$D$20</f>
        <v/>
      </c>
      <c r="D20" s="16">
        <f>'Distributor Master'!$K$20</f>
        <v/>
      </c>
      <c r="E20" s="16">
        <f>'Distributor Master'!$I$20</f>
        <v/>
      </c>
      <c r="F20" s="16">
        <f>'Distributor Master'!$H$20</f>
        <v/>
      </c>
      <c r="G20" s="4">
        <f>'Distributor Master'!$J$20</f>
        <v/>
      </c>
      <c r="H20" s="31">
        <f>IF(D20&gt;=0.2,"Fast Growing",IF(D20&gt;=0.05,"Stable",IF(D20&gt;=-0.05,"Flat","Declining")))</f>
        <v/>
      </c>
      <c r="I20" s="31">
        <f>IF(OR(E20&lt;0.85,F20&lt;0.9),"High Service Risk",IF(G20&gt;=45,"High Inventory",IF(G20&lt;=25,"Low Inventory","Healthy")))</f>
        <v/>
      </c>
    </row>
    <row r="21">
      <c r="A21" s="31">
        <f>'Distributor Master'!$A$21</f>
        <v/>
      </c>
      <c r="B21" s="101">
        <f>'Distributor Master'!$C$21</f>
        <v/>
      </c>
      <c r="C21" s="14">
        <f>'Distributor Master'!$D$21</f>
        <v/>
      </c>
      <c r="D21" s="16">
        <f>'Distributor Master'!$K$21</f>
        <v/>
      </c>
      <c r="E21" s="16">
        <f>'Distributor Master'!$I$21</f>
        <v/>
      </c>
      <c r="F21" s="16">
        <f>'Distributor Master'!$H$21</f>
        <v/>
      </c>
      <c r="G21" s="4">
        <f>'Distributor Master'!$J$21</f>
        <v/>
      </c>
      <c r="H21" s="31">
        <f>IF(D21&gt;=0.2,"Fast Growing",IF(D21&gt;=0.05,"Stable",IF(D21&gt;=-0.05,"Flat","Declining")))</f>
        <v/>
      </c>
      <c r="I21" s="31">
        <f>IF(OR(E21&lt;0.85,F21&lt;0.9),"High Service Risk",IF(G21&gt;=45,"High Inventory",IF(G21&lt;=25,"Low Inventory","Healthy")))</f>
        <v/>
      </c>
    </row>
    <row r="22">
      <c r="A22" s="31">
        <f>'Distributor Master'!$A$22</f>
        <v/>
      </c>
      <c r="B22" s="101">
        <f>'Distributor Master'!$C$22</f>
        <v/>
      </c>
      <c r="C22" s="14">
        <f>'Distributor Master'!$D$22</f>
        <v/>
      </c>
      <c r="D22" s="16">
        <f>'Distributor Master'!$K$22</f>
        <v/>
      </c>
      <c r="E22" s="16">
        <f>'Distributor Master'!$I$22</f>
        <v/>
      </c>
      <c r="F22" s="16">
        <f>'Distributor Master'!$H$22</f>
        <v/>
      </c>
      <c r="G22" s="4">
        <f>'Distributor Master'!$J$22</f>
        <v/>
      </c>
      <c r="H22" s="31">
        <f>IF(D22&gt;=0.2,"Fast Growing",IF(D22&gt;=0.05,"Stable",IF(D22&gt;=-0.05,"Flat","Declining")))</f>
        <v/>
      </c>
      <c r="I22" s="31">
        <f>IF(OR(E22&lt;0.85,F22&lt;0.9),"High Service Risk",IF(G22&gt;=45,"High Inventory",IF(G22&lt;=25,"Low Inventory","Healthy")))</f>
        <v/>
      </c>
    </row>
    <row r="23">
      <c r="A23" s="31">
        <f>'Distributor Master'!$A$23</f>
        <v/>
      </c>
      <c r="B23" s="101">
        <f>'Distributor Master'!$C$23</f>
        <v/>
      </c>
      <c r="C23" s="14">
        <f>'Distributor Master'!$D$23</f>
        <v/>
      </c>
      <c r="D23" s="16">
        <f>'Distributor Master'!$K$23</f>
        <v/>
      </c>
      <c r="E23" s="16">
        <f>'Distributor Master'!$I$23</f>
        <v/>
      </c>
      <c r="F23" s="16">
        <f>'Distributor Master'!$H$23</f>
        <v/>
      </c>
      <c r="G23" s="4">
        <f>'Distributor Master'!$J$23</f>
        <v/>
      </c>
      <c r="H23" s="31">
        <f>IF(D23&gt;=0.2,"Fast Growing",IF(D23&gt;=0.05,"Stable",IF(D23&gt;=-0.05,"Flat","Declining")))</f>
        <v/>
      </c>
      <c r="I23" s="31">
        <f>IF(OR(E23&lt;0.85,F23&lt;0.9),"High Service Risk",IF(G23&gt;=45,"High Inventory",IF(G23&lt;=25,"Low Inventory","Healthy")))</f>
        <v/>
      </c>
    </row>
    <row r="24">
      <c r="A24" s="31">
        <f>'Distributor Master'!$A$24</f>
        <v/>
      </c>
      <c r="B24" s="101">
        <f>'Distributor Master'!$C$24</f>
        <v/>
      </c>
      <c r="C24" s="14">
        <f>'Distributor Master'!$D$24</f>
        <v/>
      </c>
      <c r="D24" s="16">
        <f>'Distributor Master'!$K$24</f>
        <v/>
      </c>
      <c r="E24" s="16">
        <f>'Distributor Master'!$I$24</f>
        <v/>
      </c>
      <c r="F24" s="16">
        <f>'Distributor Master'!$H$24</f>
        <v/>
      </c>
      <c r="G24" s="4">
        <f>'Distributor Master'!$J$24</f>
        <v/>
      </c>
      <c r="H24" s="31">
        <f>IF(D24&gt;=0.2,"Fast Growing",IF(D24&gt;=0.05,"Stable",IF(D24&gt;=-0.05,"Flat","Declining")))</f>
        <v/>
      </c>
      <c r="I24" s="31">
        <f>IF(OR(E24&lt;0.85,F24&lt;0.9),"High Service Risk",IF(G24&gt;=45,"High Inventory",IF(G24&lt;=25,"Low Inventory","Healthy")))</f>
        <v/>
      </c>
    </row>
    <row r="25">
      <c r="A25" s="31">
        <f>'Distributor Master'!$A$25</f>
        <v/>
      </c>
      <c r="B25" s="101">
        <f>'Distributor Master'!$C$25</f>
        <v/>
      </c>
      <c r="C25" s="14">
        <f>'Distributor Master'!$D$25</f>
        <v/>
      </c>
      <c r="D25" s="16">
        <f>'Distributor Master'!$K$25</f>
        <v/>
      </c>
      <c r="E25" s="16">
        <f>'Distributor Master'!$I$25</f>
        <v/>
      </c>
      <c r="F25" s="16">
        <f>'Distributor Master'!$H$25</f>
        <v/>
      </c>
      <c r="G25" s="4">
        <f>'Distributor Master'!$J$25</f>
        <v/>
      </c>
      <c r="H25" s="31">
        <f>IF(D25&gt;=0.2,"Fast Growing",IF(D25&gt;=0.05,"Stable",IF(D25&gt;=-0.05,"Flat","Declining")))</f>
        <v/>
      </c>
      <c r="I25" s="31">
        <f>IF(OR(E25&lt;0.85,F25&lt;0.9),"High Service Risk",IF(G25&gt;=45,"High Inventory",IF(G25&lt;=25,"Low Inventory","Healthy")))</f>
        <v/>
      </c>
    </row>
    <row r="26">
      <c r="A26" s="31">
        <f>'Distributor Master'!$A$26</f>
        <v/>
      </c>
      <c r="B26" s="101">
        <f>'Distributor Master'!$C$26</f>
        <v/>
      </c>
      <c r="C26" s="14">
        <f>'Distributor Master'!$D$26</f>
        <v/>
      </c>
      <c r="D26" s="16">
        <f>'Distributor Master'!$K$26</f>
        <v/>
      </c>
      <c r="E26" s="16">
        <f>'Distributor Master'!$I$26</f>
        <v/>
      </c>
      <c r="F26" s="16">
        <f>'Distributor Master'!$H$26</f>
        <v/>
      </c>
      <c r="G26" s="4">
        <f>'Distributor Master'!$J$26</f>
        <v/>
      </c>
      <c r="H26" s="31">
        <f>IF(D26&gt;=0.2,"Fast Growing",IF(D26&gt;=0.05,"Stable",IF(D26&gt;=-0.05,"Flat","Declining")))</f>
        <v/>
      </c>
      <c r="I26" s="31">
        <f>IF(OR(E26&lt;0.85,F26&lt;0.9),"High Service Risk",IF(G26&gt;=45,"High Inventory",IF(G26&lt;=25,"Low Inventory","Healthy")))</f>
        <v/>
      </c>
    </row>
    <row r="27">
      <c r="A27" s="31">
        <f>'Distributor Master'!$A$27</f>
        <v/>
      </c>
      <c r="B27" s="101">
        <f>'Distributor Master'!$C$27</f>
        <v/>
      </c>
      <c r="C27" s="14">
        <f>'Distributor Master'!$D$27</f>
        <v/>
      </c>
      <c r="D27" s="16">
        <f>'Distributor Master'!$K$27</f>
        <v/>
      </c>
      <c r="E27" s="16">
        <f>'Distributor Master'!$I$27</f>
        <v/>
      </c>
      <c r="F27" s="16">
        <f>'Distributor Master'!$H$27</f>
        <v/>
      </c>
      <c r="G27" s="4">
        <f>'Distributor Master'!$J$27</f>
        <v/>
      </c>
      <c r="H27" s="31">
        <f>IF(D27&gt;=0.2,"Fast Growing",IF(D27&gt;=0.05,"Stable",IF(D27&gt;=-0.05,"Flat","Declining")))</f>
        <v/>
      </c>
      <c r="I27" s="31">
        <f>IF(OR(E27&lt;0.85,F27&lt;0.9),"High Service Risk",IF(G27&gt;=45,"High Inventory",IF(G27&lt;=25,"Low Inventory","Healthy")))</f>
        <v/>
      </c>
    </row>
    <row r="28">
      <c r="A28" s="31">
        <f>'Distributor Master'!$A$28</f>
        <v/>
      </c>
      <c r="B28" s="101">
        <f>'Distributor Master'!$C$28</f>
        <v/>
      </c>
      <c r="C28" s="14">
        <f>'Distributor Master'!$D$28</f>
        <v/>
      </c>
      <c r="D28" s="16">
        <f>'Distributor Master'!$K$28</f>
        <v/>
      </c>
      <c r="E28" s="16">
        <f>'Distributor Master'!$I$28</f>
        <v/>
      </c>
      <c r="F28" s="16">
        <f>'Distributor Master'!$H$28</f>
        <v/>
      </c>
      <c r="G28" s="4">
        <f>'Distributor Master'!$J$28</f>
        <v/>
      </c>
      <c r="H28" s="31">
        <f>IF(D28&gt;=0.2,"Fast Growing",IF(D28&gt;=0.05,"Stable",IF(D28&gt;=-0.05,"Flat","Declining")))</f>
        <v/>
      </c>
      <c r="I28" s="31">
        <f>IF(OR(E28&lt;0.85,F28&lt;0.9),"High Service Risk",IF(G28&gt;=45,"High Inventory",IF(G28&lt;=25,"Low Inventory","Healthy")))</f>
        <v/>
      </c>
    </row>
    <row r="29">
      <c r="A29" s="31">
        <f>'Distributor Master'!$A$29</f>
        <v/>
      </c>
      <c r="B29" s="101">
        <f>'Distributor Master'!$C$29</f>
        <v/>
      </c>
      <c r="C29" s="14">
        <f>'Distributor Master'!$D$29</f>
        <v/>
      </c>
      <c r="D29" s="16">
        <f>'Distributor Master'!$K$29</f>
        <v/>
      </c>
      <c r="E29" s="16">
        <f>'Distributor Master'!$I$29</f>
        <v/>
      </c>
      <c r="F29" s="16">
        <f>'Distributor Master'!$H$29</f>
        <v/>
      </c>
      <c r="G29" s="4">
        <f>'Distributor Master'!$J$29</f>
        <v/>
      </c>
      <c r="H29" s="31">
        <f>IF(D29&gt;=0.2,"Fast Growing",IF(D29&gt;=0.05,"Stable",IF(D29&gt;=-0.05,"Flat","Declining")))</f>
        <v/>
      </c>
      <c r="I29" s="31">
        <f>IF(OR(E29&lt;0.85,F29&lt;0.9),"High Service Risk",IF(G29&gt;=45,"High Inventory",IF(G29&lt;=25,"Low Inventory","Healthy")))</f>
        <v/>
      </c>
    </row>
    <row r="30">
      <c r="A30" s="31">
        <f>'Distributor Master'!$A$30</f>
        <v/>
      </c>
      <c r="B30" s="101">
        <f>'Distributor Master'!$C$30</f>
        <v/>
      </c>
      <c r="C30" s="14">
        <f>'Distributor Master'!$D$30</f>
        <v/>
      </c>
      <c r="D30" s="16">
        <f>'Distributor Master'!$K$30</f>
        <v/>
      </c>
      <c r="E30" s="16">
        <f>'Distributor Master'!$I$30</f>
        <v/>
      </c>
      <c r="F30" s="16">
        <f>'Distributor Master'!$H$30</f>
        <v/>
      </c>
      <c r="G30" s="4">
        <f>'Distributor Master'!$J$30</f>
        <v/>
      </c>
      <c r="H30" s="31">
        <f>IF(D30&gt;=0.2,"Fast Growing",IF(D30&gt;=0.05,"Stable",IF(D30&gt;=-0.05,"Flat","Declining")))</f>
        <v/>
      </c>
      <c r="I30" s="31">
        <f>IF(OR(E30&lt;0.85,F30&lt;0.9),"High Service Risk",IF(G30&gt;=45,"High Inventory",IF(G30&lt;=25,"Low Inventory","Healthy")))</f>
        <v/>
      </c>
    </row>
    <row r="31">
      <c r="A31" s="31">
        <f>'Distributor Master'!$A$31</f>
        <v/>
      </c>
      <c r="B31" s="101">
        <f>'Distributor Master'!$C$31</f>
        <v/>
      </c>
      <c r="C31" s="14">
        <f>'Distributor Master'!$D$31</f>
        <v/>
      </c>
      <c r="D31" s="16">
        <f>'Distributor Master'!$K$31</f>
        <v/>
      </c>
      <c r="E31" s="16">
        <f>'Distributor Master'!$I$31</f>
        <v/>
      </c>
      <c r="F31" s="16">
        <f>'Distributor Master'!$H$31</f>
        <v/>
      </c>
      <c r="G31" s="4">
        <f>'Distributor Master'!$J$31</f>
        <v/>
      </c>
      <c r="H31" s="31">
        <f>IF(D31&gt;=0.2,"Fast Growing",IF(D31&gt;=0.05,"Stable",IF(D31&gt;=-0.05,"Flat","Declining")))</f>
        <v/>
      </c>
      <c r="I31" s="31">
        <f>IF(OR(E31&lt;0.85,F31&lt;0.9),"High Service Risk",IF(G31&gt;=45,"High Inventory",IF(G31&lt;=25,"Low Inventory","Healthy")))</f>
        <v/>
      </c>
    </row>
    <row r="32">
      <c r="A32" s="31">
        <f>'Distributor Master'!$A$32</f>
        <v/>
      </c>
      <c r="B32" s="101">
        <f>'Distributor Master'!$C$32</f>
        <v/>
      </c>
      <c r="C32" s="14">
        <f>'Distributor Master'!$D$32</f>
        <v/>
      </c>
      <c r="D32" s="16">
        <f>'Distributor Master'!$K$32</f>
        <v/>
      </c>
      <c r="E32" s="16">
        <f>'Distributor Master'!$I$32</f>
        <v/>
      </c>
      <c r="F32" s="16">
        <f>'Distributor Master'!$H$32</f>
        <v/>
      </c>
      <c r="G32" s="4">
        <f>'Distributor Master'!$J$32</f>
        <v/>
      </c>
      <c r="H32" s="31">
        <f>IF(D32&gt;=0.2,"Fast Growing",IF(D32&gt;=0.05,"Stable",IF(D32&gt;=-0.05,"Flat","Declining")))</f>
        <v/>
      </c>
      <c r="I32" s="31">
        <f>IF(OR(E32&lt;0.85,F32&lt;0.9),"High Service Risk",IF(G32&gt;=45,"High Inventory",IF(G32&lt;=25,"Low Inventory","Healthy")))</f>
        <v/>
      </c>
    </row>
    <row r="33">
      <c r="A33" s="31">
        <f>'Distributor Master'!$A$33</f>
        <v/>
      </c>
      <c r="B33" s="101">
        <f>'Distributor Master'!$C$33</f>
        <v/>
      </c>
      <c r="C33" s="14">
        <f>'Distributor Master'!$D$33</f>
        <v/>
      </c>
      <c r="D33" s="16">
        <f>'Distributor Master'!$K$33</f>
        <v/>
      </c>
      <c r="E33" s="16">
        <f>'Distributor Master'!$I$33</f>
        <v/>
      </c>
      <c r="F33" s="16">
        <f>'Distributor Master'!$H$33</f>
        <v/>
      </c>
      <c r="G33" s="4">
        <f>'Distributor Master'!$J$33</f>
        <v/>
      </c>
      <c r="H33" s="31">
        <f>IF(D33&gt;=0.2,"Fast Growing",IF(D33&gt;=0.05,"Stable",IF(D33&gt;=-0.05,"Flat","Declining")))</f>
        <v/>
      </c>
      <c r="I33" s="31">
        <f>IF(OR(E33&lt;0.85,F33&lt;0.9),"High Service Risk",IF(G33&gt;=45,"High Inventory",IF(G33&lt;=25,"Low Inventory","Healthy")))</f>
        <v/>
      </c>
    </row>
  </sheetData>
  <mergeCells count="2">
    <mergeCell ref="A1:I1"/>
    <mergeCell ref="A2:I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5" customWidth="1" min="4" max="4"/>
    <col width="11" customWidth="1" min="5" max="5"/>
    <col width="11" customWidth="1" min="6" max="6"/>
    <col width="11" customWidth="1" min="7" max="7"/>
    <col width="11" customWidth="1" min="8" max="8"/>
    <col width="15" customWidth="1" min="9" max="9"/>
  </cols>
  <sheetData>
    <row r="1" ht="26" customHeight="1">
      <c r="A1" s="1" t="inlineStr">
        <is>
          <t>WAREHOUSE OPTIMIZATION  ·  zone→warehouse dispatch plan for M / M+1 / M+2 (₹ Cr)</t>
        </is>
      </c>
    </row>
    <row r="2">
      <c r="A2" s="12" t="inlineStr">
        <is>
          <t>Base-case forecast is mapped from Zone contribution (Target Distribution) to the four MT warehouses, then checked against capacity (Control Panel). Utilisation flags overloads.</t>
        </is>
      </c>
    </row>
    <row r="3">
      <c r="A3" s="12" t="inlineStr">
        <is>
          <t>Warehouse share of demand (editable) — derived from zone footprint</t>
        </is>
      </c>
    </row>
    <row r="4" ht="28" customHeight="1">
      <c r="A4" s="5" t="inlineStr">
        <is>
          <t>Warehouse</t>
        </is>
      </c>
      <c r="B4" s="5" t="inlineStr">
        <is>
          <t>Serves Zones</t>
        </is>
      </c>
      <c r="C4" s="5" t="inlineStr">
        <is>
          <t>Demand Share %</t>
        </is>
      </c>
      <c r="D4" s="5" t="inlineStr">
        <is>
          <t>Capacity (₹ Cr/mo)</t>
        </is>
      </c>
      <c r="E4" s="5" t="inlineStr">
        <is>
          <t>Dispatch M</t>
        </is>
      </c>
      <c r="F4" s="5" t="inlineStr">
        <is>
          <t>Dispatch M+1</t>
        </is>
      </c>
      <c r="G4" s="5" t="inlineStr">
        <is>
          <t>Dispatch M+2</t>
        </is>
      </c>
      <c r="H4" s="5" t="inlineStr">
        <is>
          <t>3M Total</t>
        </is>
      </c>
      <c r="I4" s="5" t="inlineStr">
        <is>
          <t>Peak Utilisation %</t>
        </is>
      </c>
    </row>
    <row r="5">
      <c r="A5" s="55" t="inlineStr">
        <is>
          <t>Gurgaon</t>
        </is>
      </c>
      <c r="B5" s="56" t="inlineStr">
        <is>
          <t>North</t>
        </is>
      </c>
      <c r="C5" s="33" t="n">
        <v>0.3</v>
      </c>
      <c r="D5" s="102">
        <f>'Control Panel'!$B$53</f>
        <v/>
      </c>
      <c r="E5" s="14">
        <f>C5*'Forecast Engine'!$AK$13</f>
        <v/>
      </c>
      <c r="F5" s="14">
        <f>C5*'Forecast Engine'!$AL$13</f>
        <v/>
      </c>
      <c r="G5" s="14">
        <f>C5*'Forecast Engine'!$AM$13</f>
        <v/>
      </c>
      <c r="H5" s="35">
        <f>SUM(E5:G5)</f>
        <v/>
      </c>
      <c r="I5" s="16">
        <f>IFERROR(MAX(E5:G5)/D5,0)</f>
        <v/>
      </c>
    </row>
    <row r="6">
      <c r="A6" s="55" t="inlineStr">
        <is>
          <t>Mumbai</t>
        </is>
      </c>
      <c r="B6" s="56" t="inlineStr">
        <is>
          <t>West</t>
        </is>
      </c>
      <c r="C6" s="33" t="n">
        <v>0.28</v>
      </c>
      <c r="D6" s="102">
        <f>'Control Panel'!$B$54</f>
        <v/>
      </c>
      <c r="E6" s="14">
        <f>C6*'Forecast Engine'!$AK$13</f>
        <v/>
      </c>
      <c r="F6" s="14">
        <f>C6*'Forecast Engine'!$AL$13</f>
        <v/>
      </c>
      <c r="G6" s="14">
        <f>C6*'Forecast Engine'!$AM$13</f>
        <v/>
      </c>
      <c r="H6" s="35">
        <f>SUM(E6:G6)</f>
        <v/>
      </c>
      <c r="I6" s="16">
        <f>IFERROR(MAX(E6:G6)/D6,0)</f>
        <v/>
      </c>
    </row>
    <row r="7">
      <c r="A7" s="55" t="inlineStr">
        <is>
          <t>Bangalore</t>
        </is>
      </c>
      <c r="B7" s="56" t="inlineStr">
        <is>
          <t>South-1, South-2</t>
        </is>
      </c>
      <c r="C7" s="33" t="n">
        <v>0.27</v>
      </c>
      <c r="D7" s="102">
        <f>'Control Panel'!$B$55</f>
        <v/>
      </c>
      <c r="E7" s="14">
        <f>C7*'Forecast Engine'!$AK$13</f>
        <v/>
      </c>
      <c r="F7" s="14">
        <f>C7*'Forecast Engine'!$AL$13</f>
        <v/>
      </c>
      <c r="G7" s="14">
        <f>C7*'Forecast Engine'!$AM$13</f>
        <v/>
      </c>
      <c r="H7" s="35">
        <f>SUM(E7:G7)</f>
        <v/>
      </c>
      <c r="I7" s="16">
        <f>IFERROR(MAX(E7:G7)/D7,0)</f>
        <v/>
      </c>
    </row>
    <row r="8">
      <c r="A8" s="55" t="inlineStr">
        <is>
          <t>Kolkata</t>
        </is>
      </c>
      <c r="B8" s="56" t="inlineStr">
        <is>
          <t>East</t>
        </is>
      </c>
      <c r="C8" s="33" t="n">
        <v>0.15</v>
      </c>
      <c r="D8" s="102">
        <f>'Control Panel'!$B$56</f>
        <v/>
      </c>
      <c r="E8" s="14">
        <f>C8*'Forecast Engine'!$AK$13</f>
        <v/>
      </c>
      <c r="F8" s="14">
        <f>C8*'Forecast Engine'!$AL$13</f>
        <v/>
      </c>
      <c r="G8" s="14">
        <f>C8*'Forecast Engine'!$AM$13</f>
        <v/>
      </c>
      <c r="H8" s="35">
        <f>SUM(E8:G8)</f>
        <v/>
      </c>
      <c r="I8" s="16">
        <f>IFERROR(MAX(E8:G8)/D8,0)</f>
        <v/>
      </c>
    </row>
    <row r="9">
      <c r="A9" s="38" t="inlineStr">
        <is>
          <t>TOTAL</t>
        </is>
      </c>
      <c r="B9" s="4" t="n"/>
      <c r="C9" s="16">
        <f>SUM(C5:C8)</f>
        <v/>
      </c>
      <c r="D9" s="4" t="n"/>
      <c r="E9" s="18">
        <f>SUM(E5:E8)</f>
        <v/>
      </c>
      <c r="F9" s="18">
        <f>SUM(F5:F8)</f>
        <v/>
      </c>
      <c r="G9" s="18">
        <f>SUM(G5:G8)</f>
        <v/>
      </c>
      <c r="H9" s="18">
        <f>SUM(H5:H8)</f>
        <v/>
      </c>
      <c r="I9" s="4" t="n"/>
    </row>
    <row r="11">
      <c r="A11" s="103" t="inlineStr">
        <is>
          <t>Overload alerts:</t>
        </is>
      </c>
    </row>
    <row r="12">
      <c r="A12" s="104">
        <f>IF(I5&gt;1,A5&amp;" over capacity — reallocate "&amp;TEXT(MAX(E5:G5)-D5,"0.0")&amp;" Cr","")</f>
        <v/>
      </c>
    </row>
    <row r="13">
      <c r="A13" s="104">
        <f>IF(I6&gt;1,A6&amp;" over capacity — reallocate "&amp;TEXT(MAX(E6:G6)-D6,"0.0")&amp;" Cr","")</f>
        <v/>
      </c>
    </row>
    <row r="14">
      <c r="A14" s="104">
        <f>IF(I7&gt;1,A7&amp;" over capacity — reallocate "&amp;TEXT(MAX(E7:G7)-D7,"0.0")&amp;" Cr","")</f>
        <v/>
      </c>
    </row>
    <row r="15">
      <c r="A15" s="104">
        <f>IF(I8&gt;1,A8&amp;" over capacity — reallocate "&amp;TEXT(MAX(E8:G8)-D8,"0.0")&amp;" Cr","")</f>
        <v/>
      </c>
    </row>
  </sheetData>
  <mergeCells count="7">
    <mergeCell ref="A15:I15"/>
    <mergeCell ref="A2:I2"/>
    <mergeCell ref="A13:I13"/>
    <mergeCell ref="A14:I14"/>
    <mergeCell ref="A1:I1"/>
    <mergeCell ref="A3:I3"/>
    <mergeCell ref="A12:I1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1" customWidth="1" min="4" max="4"/>
    <col width="12" customWidth="1" min="5" max="5"/>
    <col width="10" customWidth="1" min="6" max="6"/>
    <col width="15" customWidth="1" min="7" max="7"/>
    <col width="15" customWidth="1" min="8" max="8"/>
  </cols>
  <sheetData>
    <row r="1" ht="26" customHeight="1">
      <c r="A1" s="1" t="inlineStr">
        <is>
          <t>FORECAST ACCURACY ENGINE  ·  back-test on real company primary</t>
        </is>
      </c>
    </row>
    <row r="2">
      <c r="A2" s="12" t="inlineStr">
        <is>
          <t>1-month-ahead naïve WMA back-test at company level on real history: for each recent month, forecast = weighted avg of the prior 3 actual months; compared with the actual. MAPE / WMAPE / Bias / Tracking Signal / Accuracy% recompute as new months close.</t>
        </is>
      </c>
    </row>
    <row r="3" ht="28" customHeight="1">
      <c r="A3" s="5" t="inlineStr">
        <is>
          <t>Month</t>
        </is>
      </c>
      <c r="B3" s="5" t="inlineStr">
        <is>
          <t>Forecast (₹ Cr)</t>
        </is>
      </c>
      <c r="C3" s="5" t="inlineStr">
        <is>
          <t>Actual (₹ Cr)</t>
        </is>
      </c>
      <c r="D3" s="5" t="inlineStr">
        <is>
          <t>Error</t>
        </is>
      </c>
      <c r="E3" s="5" t="inlineStr">
        <is>
          <t>Abs Error</t>
        </is>
      </c>
      <c r="F3" s="5" t="inlineStr">
        <is>
          <t>APE %</t>
        </is>
      </c>
      <c r="G3" s="5" t="inlineStr">
        <is>
          <t>Cumulative Error</t>
        </is>
      </c>
      <c r="H3" s="5" t="inlineStr">
        <is>
          <t>|Error| runsum</t>
        </is>
      </c>
    </row>
    <row r="4">
      <c r="A4" s="96" t="inlineStr">
        <is>
          <t>Jul'25</t>
        </is>
      </c>
      <c r="B4" s="14">
        <f>'Control Panel'!$B$28*SUM('Primary Sales History'!$E$4:$E$33)+'Control Panel'!$B$29*SUM('Primary Sales History'!$D$4:$D$33)+'Control Panel'!$B$30*SUM('Primary Sales History'!$C$4:$C$33)</f>
        <v/>
      </c>
      <c r="C4" s="14">
        <f>SUM('Primary Sales History'!$F$4:$F$33)</f>
        <v/>
      </c>
      <c r="D4" s="14">
        <f>B4-C4</f>
        <v/>
      </c>
      <c r="E4" s="14">
        <f>ABS(B4-C4)</f>
        <v/>
      </c>
      <c r="F4" s="16">
        <f>IFERROR(ABS(B4-C4)/C4,0)</f>
        <v/>
      </c>
      <c r="G4" s="14">
        <f>SUM($D$4:D4)</f>
        <v/>
      </c>
      <c r="H4" s="14">
        <f>SUM($E$4:E4)</f>
        <v/>
      </c>
    </row>
    <row r="5">
      <c r="A5" s="96" t="inlineStr">
        <is>
          <t>Aug'25</t>
        </is>
      </c>
      <c r="B5" s="14">
        <f>'Control Panel'!$B$28*SUM('Primary Sales History'!$F$4:$F$33)+'Control Panel'!$B$29*SUM('Primary Sales History'!$E$4:$E$33)+'Control Panel'!$B$30*SUM('Primary Sales History'!$D$4:$D$33)</f>
        <v/>
      </c>
      <c r="C5" s="14">
        <f>SUM('Primary Sales History'!$G$4:$G$33)</f>
        <v/>
      </c>
      <c r="D5" s="14">
        <f>B5-C5</f>
        <v/>
      </c>
      <c r="E5" s="14">
        <f>ABS(B5-C5)</f>
        <v/>
      </c>
      <c r="F5" s="16">
        <f>IFERROR(ABS(B5-C5)/C5,0)</f>
        <v/>
      </c>
      <c r="G5" s="14">
        <f>SUM($D$4:D5)</f>
        <v/>
      </c>
      <c r="H5" s="14">
        <f>SUM($E$4:E5)</f>
        <v/>
      </c>
    </row>
    <row r="6">
      <c r="A6" s="96" t="inlineStr">
        <is>
          <t>Sep'25</t>
        </is>
      </c>
      <c r="B6" s="14">
        <f>'Control Panel'!$B$28*SUM('Primary Sales History'!$G$4:$G$33)+'Control Panel'!$B$29*SUM('Primary Sales History'!$F$4:$F$33)+'Control Panel'!$B$30*SUM('Primary Sales History'!$E$4:$E$33)</f>
        <v/>
      </c>
      <c r="C6" s="14">
        <f>SUM('Primary Sales History'!$H$4:$H$33)</f>
        <v/>
      </c>
      <c r="D6" s="14">
        <f>B6-C6</f>
        <v/>
      </c>
      <c r="E6" s="14">
        <f>ABS(B6-C6)</f>
        <v/>
      </c>
      <c r="F6" s="16">
        <f>IFERROR(ABS(B6-C6)/C6,0)</f>
        <v/>
      </c>
      <c r="G6" s="14">
        <f>SUM($D$4:D6)</f>
        <v/>
      </c>
      <c r="H6" s="14">
        <f>SUM($E$4:E6)</f>
        <v/>
      </c>
    </row>
    <row r="7">
      <c r="A7" s="96" t="inlineStr">
        <is>
          <t>Oct'25</t>
        </is>
      </c>
      <c r="B7" s="14">
        <f>'Control Panel'!$B$28*SUM('Primary Sales History'!$H$4:$H$33)+'Control Panel'!$B$29*SUM('Primary Sales History'!$G$4:$G$33)+'Control Panel'!$B$30*SUM('Primary Sales History'!$F$4:$F$33)</f>
        <v/>
      </c>
      <c r="C7" s="14">
        <f>SUM('Primary Sales History'!$I$4:$I$33)</f>
        <v/>
      </c>
      <c r="D7" s="14">
        <f>B7-C7</f>
        <v/>
      </c>
      <c r="E7" s="14">
        <f>ABS(B7-C7)</f>
        <v/>
      </c>
      <c r="F7" s="16">
        <f>IFERROR(ABS(B7-C7)/C7,0)</f>
        <v/>
      </c>
      <c r="G7" s="14">
        <f>SUM($D$4:D7)</f>
        <v/>
      </c>
      <c r="H7" s="14">
        <f>SUM($E$4:E7)</f>
        <v/>
      </c>
    </row>
    <row r="8">
      <c r="A8" s="96" t="inlineStr">
        <is>
          <t>Nov'25</t>
        </is>
      </c>
      <c r="B8" s="14">
        <f>'Control Panel'!$B$28*SUM('Primary Sales History'!$I$4:$I$33)+'Control Panel'!$B$29*SUM('Primary Sales History'!$H$4:$H$33)+'Control Panel'!$B$30*SUM('Primary Sales History'!$G$4:$G$33)</f>
        <v/>
      </c>
      <c r="C8" s="14">
        <f>SUM('Primary Sales History'!$J$4:$J$33)</f>
        <v/>
      </c>
      <c r="D8" s="14">
        <f>B8-C8</f>
        <v/>
      </c>
      <c r="E8" s="14">
        <f>ABS(B8-C8)</f>
        <v/>
      </c>
      <c r="F8" s="16">
        <f>IFERROR(ABS(B8-C8)/C8,0)</f>
        <v/>
      </c>
      <c r="G8" s="14">
        <f>SUM($D$4:D8)</f>
        <v/>
      </c>
      <c r="H8" s="14">
        <f>SUM($E$4:E8)</f>
        <v/>
      </c>
    </row>
    <row r="9">
      <c r="A9" s="96" t="inlineStr">
        <is>
          <t>Dec'25</t>
        </is>
      </c>
      <c r="B9" s="14">
        <f>'Control Panel'!$B$28*SUM('Primary Sales History'!$J$4:$J$33)+'Control Panel'!$B$29*SUM('Primary Sales History'!$I$4:$I$33)+'Control Panel'!$B$30*SUM('Primary Sales History'!$H$4:$H$33)</f>
        <v/>
      </c>
      <c r="C9" s="14">
        <f>SUM('Primary Sales History'!$K$4:$K$33)</f>
        <v/>
      </c>
      <c r="D9" s="14">
        <f>B9-C9</f>
        <v/>
      </c>
      <c r="E9" s="14">
        <f>ABS(B9-C9)</f>
        <v/>
      </c>
      <c r="F9" s="16">
        <f>IFERROR(ABS(B9-C9)/C9,0)</f>
        <v/>
      </c>
      <c r="G9" s="14">
        <f>SUM($D$4:D9)</f>
        <v/>
      </c>
      <c r="H9" s="14">
        <f>SUM($E$4:E9)</f>
        <v/>
      </c>
    </row>
    <row r="10">
      <c r="A10" s="96" t="inlineStr">
        <is>
          <t>Jan'25</t>
        </is>
      </c>
      <c r="B10" s="14">
        <f>'Control Panel'!$B$28*SUM('Primary Sales History'!$K$4:$K$33)+'Control Panel'!$B$29*SUM('Primary Sales History'!$J$4:$J$33)+'Control Panel'!$B$30*SUM('Primary Sales History'!$I$4:$I$33)</f>
        <v/>
      </c>
      <c r="C10" s="14">
        <f>SUM('Primary Sales History'!$L$4:$L$33)</f>
        <v/>
      </c>
      <c r="D10" s="14">
        <f>B10-C10</f>
        <v/>
      </c>
      <c r="E10" s="14">
        <f>ABS(B10-C10)</f>
        <v/>
      </c>
      <c r="F10" s="16">
        <f>IFERROR(ABS(B10-C10)/C10,0)</f>
        <v/>
      </c>
      <c r="G10" s="14">
        <f>SUM($D$4:D10)</f>
        <v/>
      </c>
      <c r="H10" s="14">
        <f>SUM($E$4:E10)</f>
        <v/>
      </c>
    </row>
    <row r="11">
      <c r="A11" s="96" t="inlineStr">
        <is>
          <t>Feb'25</t>
        </is>
      </c>
      <c r="B11" s="14">
        <f>'Control Panel'!$B$28*SUM('Primary Sales History'!$L$4:$L$33)+'Control Panel'!$B$29*SUM('Primary Sales History'!$K$4:$K$33)+'Control Panel'!$B$30*SUM('Primary Sales History'!$J$4:$J$33)</f>
        <v/>
      </c>
      <c r="C11" s="14">
        <f>SUM('Primary Sales History'!$M$4:$M$33)</f>
        <v/>
      </c>
      <c r="D11" s="14">
        <f>B11-C11</f>
        <v/>
      </c>
      <c r="E11" s="14">
        <f>ABS(B11-C11)</f>
        <v/>
      </c>
      <c r="F11" s="16">
        <f>IFERROR(ABS(B11-C11)/C11,0)</f>
        <v/>
      </c>
      <c r="G11" s="14">
        <f>SUM($D$4:D11)</f>
        <v/>
      </c>
      <c r="H11" s="14">
        <f>SUM($E$4:E11)</f>
        <v/>
      </c>
    </row>
    <row r="12">
      <c r="A12" s="96" t="inlineStr">
        <is>
          <t>Mar'25</t>
        </is>
      </c>
      <c r="B12" s="14">
        <f>'Control Panel'!$B$28*SUM('Primary Sales History'!$M$4:$M$33)+'Control Panel'!$B$29*SUM('Primary Sales History'!$L$4:$L$33)+'Control Panel'!$B$30*SUM('Primary Sales History'!$K$4:$K$33)</f>
        <v/>
      </c>
      <c r="C12" s="14">
        <f>SUM('Primary Sales History'!$N$4:$N$33)</f>
        <v/>
      </c>
      <c r="D12" s="14">
        <f>B12-C12</f>
        <v/>
      </c>
      <c r="E12" s="14">
        <f>ABS(B12-C12)</f>
        <v/>
      </c>
      <c r="F12" s="16">
        <f>IFERROR(ABS(B12-C12)/C12,0)</f>
        <v/>
      </c>
      <c r="G12" s="14">
        <f>SUM($D$4:D12)</f>
        <v/>
      </c>
      <c r="H12" s="14">
        <f>SUM($E$4:E12)</f>
        <v/>
      </c>
    </row>
    <row r="13">
      <c r="A13" s="96" t="inlineStr">
        <is>
          <t>Apr'26</t>
        </is>
      </c>
      <c r="B13" s="14">
        <f>'Control Panel'!$B$28*SUM('Primary Sales History'!$N$4:$N$33)+'Control Panel'!$B$29*SUM('Primary Sales History'!$M$4:$M$33)+'Control Panel'!$B$30*SUM('Primary Sales History'!$L$4:$L$33)</f>
        <v/>
      </c>
      <c r="C13" s="14">
        <f>SUM('Primary Sales History'!$O$4:$O$33)</f>
        <v/>
      </c>
      <c r="D13" s="14">
        <f>B13-C13</f>
        <v/>
      </c>
      <c r="E13" s="14">
        <f>ABS(B13-C13)</f>
        <v/>
      </c>
      <c r="F13" s="16">
        <f>IFERROR(ABS(B13-C13)/C13,0)</f>
        <v/>
      </c>
      <c r="G13" s="14">
        <f>SUM($D$4:D13)</f>
        <v/>
      </c>
      <c r="H13" s="14">
        <f>SUM($E$4:E13)</f>
        <v/>
      </c>
    </row>
    <row r="14">
      <c r="A14" s="96" t="inlineStr">
        <is>
          <t>May'26</t>
        </is>
      </c>
      <c r="B14" s="14">
        <f>'Control Panel'!$B$28*SUM('Primary Sales History'!$O$4:$O$33)+'Control Panel'!$B$29*SUM('Primary Sales History'!$N$4:$N$33)+'Control Panel'!$B$30*SUM('Primary Sales History'!$M$4:$M$33)</f>
        <v/>
      </c>
      <c r="C14" s="14">
        <f>SUM('Primary Sales History'!$P$4:$P$33)</f>
        <v/>
      </c>
      <c r="D14" s="14">
        <f>B14-C14</f>
        <v/>
      </c>
      <c r="E14" s="14">
        <f>ABS(B14-C14)</f>
        <v/>
      </c>
      <c r="F14" s="16">
        <f>IFERROR(ABS(B14-C14)/C14,0)</f>
        <v/>
      </c>
      <c r="G14" s="14">
        <f>SUM($D$4:D14)</f>
        <v/>
      </c>
      <c r="H14" s="14">
        <f>SUM($E$4:E14)</f>
        <v/>
      </c>
    </row>
    <row r="16">
      <c r="A16" s="12" t="inlineStr">
        <is>
          <t>Accuracy KPIs (full back-test window)</t>
        </is>
      </c>
    </row>
    <row r="17">
      <c r="A17" s="81" t="inlineStr">
        <is>
          <t>MAPE</t>
        </is>
      </c>
      <c r="B17" s="105">
        <f>AVERAGE(F4:F14)</f>
        <v/>
      </c>
    </row>
    <row r="18">
      <c r="A18" s="81" t="inlineStr">
        <is>
          <t>WMAPE</t>
        </is>
      </c>
      <c r="B18" s="105">
        <f>SUM(E4:E14)/SUM(C4:C14)</f>
        <v/>
      </c>
    </row>
    <row r="19">
      <c r="A19" s="81" t="inlineStr">
        <is>
          <t>Forecast Bias (Σerr/Σactual)</t>
        </is>
      </c>
      <c r="B19" s="105">
        <f>SUM(D4:D14)/SUM(C4:C14)</f>
        <v/>
      </c>
    </row>
    <row r="20">
      <c r="A20" s="81" t="inlineStr">
        <is>
          <t>Tracking Signal (Σerr/MAD)</t>
        </is>
      </c>
      <c r="B20" s="106">
        <f>IFERROR(SUM(D4:D14)/AVERAGE(E4:E14),0)</f>
        <v/>
      </c>
      <c r="C20" s="44">
        <f>IF(ABS(B20)&gt;'Control Panel'!$B$49,"⚠ out of control","in control")</f>
        <v/>
      </c>
    </row>
    <row r="21">
      <c r="A21" s="81" t="inlineStr">
        <is>
          <t>Forecast Accuracy %</t>
        </is>
      </c>
      <c r="B21" s="105">
        <f>1-SUM(E4:E14)/SUM(C4:C14)</f>
        <v/>
      </c>
      <c r="C21" s="44">
        <f>IF(B21&gt;='Control Panel'!$B$50,"On target","Below target")</f>
        <v/>
      </c>
    </row>
    <row r="22">
      <c r="A22" s="81" t="inlineStr">
        <is>
          <t>Mean Absolute Error (₹ Cr)</t>
        </is>
      </c>
      <c r="B22" s="107">
        <f>AVERAGE(E4:E14)</f>
        <v/>
      </c>
    </row>
  </sheetData>
  <mergeCells count="3">
    <mergeCell ref="A1:I1"/>
    <mergeCell ref="A2:I2"/>
    <mergeCell ref="A16:I1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9" customWidth="1" min="3" max="3"/>
    <col width="16" customWidth="1" min="4" max="4"/>
    <col width="16" customWidth="1" min="5" max="5"/>
    <col width="30" customWidth="1" min="6" max="6"/>
  </cols>
  <sheetData>
    <row r="1" ht="26" customHeight="1">
      <c r="A1" s="1" t="inlineStr">
        <is>
          <t>MONTHLY TARGET UPLOAD  ·  company NSV target by month (₹ Cr)</t>
        </is>
      </c>
    </row>
    <row r="2">
      <c r="A2" s="12" t="inlineStr">
        <is>
          <t>Company-level monthly targets (source: FY26-27 Target plan). Target Distribution cascades these down the hierarchy by contribution %.</t>
        </is>
      </c>
    </row>
    <row r="3" ht="28" customHeight="1">
      <c r="A3" s="5" t="inlineStr">
        <is>
          <t>Month</t>
        </is>
      </c>
      <c r="B3" s="5" t="inlineStr">
        <is>
          <t>FY</t>
        </is>
      </c>
      <c r="C3" s="5" t="inlineStr">
        <is>
          <t>Quarter</t>
        </is>
      </c>
      <c r="D3" s="5" t="inlineStr">
        <is>
          <t>Target NSV (₹ Cr)</t>
        </is>
      </c>
      <c r="E3" s="5" t="inlineStr">
        <is>
          <t>Target Units (000s)</t>
        </is>
      </c>
      <c r="F3" s="5" t="inlineStr">
        <is>
          <t>Remarks</t>
        </is>
      </c>
    </row>
    <row r="4">
      <c r="A4" s="96" t="inlineStr">
        <is>
          <t>Apr'26</t>
        </is>
      </c>
      <c r="B4" s="96" t="inlineStr">
        <is>
          <t>FY26-27</t>
        </is>
      </c>
      <c r="C4" s="96" t="inlineStr">
        <is>
          <t>Q1</t>
        </is>
      </c>
      <c r="D4" s="108" t="n">
        <v>50.724</v>
      </c>
      <c r="E4" s="109" t="inlineStr"/>
      <c r="F4" s="110" t="inlineStr">
        <is>
          <t>editable</t>
        </is>
      </c>
    </row>
    <row r="5">
      <c r="A5" s="96" t="inlineStr">
        <is>
          <t>May'26</t>
        </is>
      </c>
      <c r="B5" s="96" t="inlineStr">
        <is>
          <t>FY26-27</t>
        </is>
      </c>
      <c r="C5" s="96" t="inlineStr">
        <is>
          <t>Q1</t>
        </is>
      </c>
      <c r="D5" s="108" t="n">
        <v>38.0052</v>
      </c>
      <c r="E5" s="109" t="inlineStr"/>
      <c r="F5" s="110" t="inlineStr">
        <is>
          <t>editable</t>
        </is>
      </c>
    </row>
    <row r="6">
      <c r="A6" s="96" t="inlineStr">
        <is>
          <t>Jun'26</t>
        </is>
      </c>
      <c r="B6" s="96" t="inlineStr">
        <is>
          <t>FY26-27</t>
        </is>
      </c>
      <c r="C6" s="96" t="inlineStr">
        <is>
          <t>Q1</t>
        </is>
      </c>
      <c r="D6" s="108" t="n">
        <v>36.2785</v>
      </c>
      <c r="E6" s="109" t="inlineStr"/>
      <c r="F6" s="110" t="inlineStr">
        <is>
          <t>editable</t>
        </is>
      </c>
    </row>
    <row r="7">
      <c r="A7" s="96" t="inlineStr">
        <is>
          <t>Jul'26</t>
        </is>
      </c>
      <c r="B7" s="96" t="inlineStr">
        <is>
          <t>FY26-27</t>
        </is>
      </c>
      <c r="C7" s="96" t="inlineStr">
        <is>
          <t>Q2</t>
        </is>
      </c>
      <c r="D7" s="108" t="n">
        <v>44.274</v>
      </c>
      <c r="E7" s="109" t="inlineStr"/>
      <c r="F7" s="110" t="inlineStr">
        <is>
          <t>editable</t>
        </is>
      </c>
    </row>
    <row r="8">
      <c r="A8" s="96" t="inlineStr">
        <is>
          <t>Aug'26</t>
        </is>
      </c>
      <c r="B8" s="96" t="inlineStr">
        <is>
          <t>FY26-27</t>
        </is>
      </c>
      <c r="C8" s="96" t="inlineStr">
        <is>
          <t>Q2</t>
        </is>
      </c>
      <c r="D8" s="108" t="n">
        <v>35.604</v>
      </c>
      <c r="E8" s="109" t="inlineStr"/>
      <c r="F8" s="110" t="inlineStr">
        <is>
          <t>editable</t>
        </is>
      </c>
    </row>
    <row r="9">
      <c r="A9" s="96" t="inlineStr">
        <is>
          <t>Sep'26</t>
        </is>
      </c>
      <c r="B9" s="96" t="inlineStr">
        <is>
          <t>FY26-27</t>
        </is>
      </c>
      <c r="C9" s="96" t="inlineStr">
        <is>
          <t>Q2</t>
        </is>
      </c>
      <c r="D9" s="108" t="n">
        <v>40.08</v>
      </c>
      <c r="E9" s="109" t="inlineStr"/>
      <c r="F9" s="110" t="inlineStr">
        <is>
          <t>editable</t>
        </is>
      </c>
    </row>
    <row r="10">
      <c r="A10" s="96" t="inlineStr">
        <is>
          <t>Oct'26</t>
        </is>
      </c>
      <c r="B10" s="96" t="inlineStr">
        <is>
          <t>FY26-27</t>
        </is>
      </c>
      <c r="C10" s="96" t="inlineStr">
        <is>
          <t>Q3</t>
        </is>
      </c>
      <c r="D10" s="108" t="n">
        <v>30.0378</v>
      </c>
      <c r="E10" s="109" t="inlineStr"/>
      <c r="F10" s="110" t="inlineStr">
        <is>
          <t>editable</t>
        </is>
      </c>
    </row>
    <row r="11">
      <c r="A11" s="96" t="inlineStr">
        <is>
          <t>Nov'26</t>
        </is>
      </c>
      <c r="B11" s="96" t="inlineStr">
        <is>
          <t>FY26-27</t>
        </is>
      </c>
      <c r="C11" s="96" t="inlineStr">
        <is>
          <t>Q3</t>
        </is>
      </c>
      <c r="D11" s="108" t="n">
        <v>36.9492</v>
      </c>
      <c r="E11" s="109" t="inlineStr"/>
      <c r="F11" s="110" t="inlineStr">
        <is>
          <t>editable</t>
        </is>
      </c>
    </row>
    <row r="12">
      <c r="A12" s="96" t="inlineStr">
        <is>
          <t>Dec'26</t>
        </is>
      </c>
      <c r="B12" s="96" t="inlineStr">
        <is>
          <t>FY26-27</t>
        </is>
      </c>
      <c r="C12" s="96" t="inlineStr">
        <is>
          <t>Q3</t>
        </is>
      </c>
      <c r="D12" s="108" t="n">
        <v>30.9651</v>
      </c>
      <c r="E12" s="109" t="inlineStr"/>
      <c r="F12" s="110" t="inlineStr">
        <is>
          <t>editable</t>
        </is>
      </c>
    </row>
    <row r="13">
      <c r="A13" s="96" t="inlineStr">
        <is>
          <t>Jan'27</t>
        </is>
      </c>
      <c r="B13" s="96" t="inlineStr">
        <is>
          <t>FY26-27</t>
        </is>
      </c>
      <c r="C13" s="96" t="inlineStr">
        <is>
          <t>Q4</t>
        </is>
      </c>
      <c r="D13" s="108" t="n">
        <v>35.9733</v>
      </c>
      <c r="E13" s="109" t="inlineStr"/>
      <c r="F13" s="110" t="inlineStr">
        <is>
          <t>editable</t>
        </is>
      </c>
    </row>
    <row r="14">
      <c r="A14" s="96" t="inlineStr">
        <is>
          <t>Feb'27</t>
        </is>
      </c>
      <c r="B14" s="96" t="inlineStr">
        <is>
          <t>FY26-27</t>
        </is>
      </c>
      <c r="C14" s="96" t="inlineStr">
        <is>
          <t>Q4</t>
        </is>
      </c>
      <c r="D14" s="108" t="n">
        <v>28.3675</v>
      </c>
      <c r="E14" s="109" t="inlineStr"/>
      <c r="F14" s="110" t="inlineStr">
        <is>
          <t>editable</t>
        </is>
      </c>
    </row>
    <row r="15">
      <c r="A15" s="96" t="inlineStr">
        <is>
          <t>Mar'27</t>
        </is>
      </c>
      <c r="B15" s="96" t="inlineStr">
        <is>
          <t>FY26-27</t>
        </is>
      </c>
      <c r="C15" s="96" t="inlineStr">
        <is>
          <t>Q4</t>
        </is>
      </c>
      <c r="D15" s="108" t="n">
        <v>34.07</v>
      </c>
      <c r="E15" s="109" t="inlineStr"/>
      <c r="F15" s="110" t="inlineStr">
        <is>
          <t>editable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26" customHeight="1">
      <c r="A1" s="1" t="inlineStr">
        <is>
          <t>PRIMARY SALES HISTORY  ·  real monthly primary NSV by Brand × Category (₹ Cr)</t>
        </is>
      </c>
    </row>
    <row r="2">
      <c r="A2" s="12" t="inlineStr">
        <is>
          <t>Real Honasa MT primary invoicing, Apr'25–May'26 (source: PowerBI/RawDataFolders/Primary_Article_Monthly). The Forecast Engine reads this via SUMIFS, so adding a new month column below makes the whole model roll forward automatically.</t>
        </is>
      </c>
    </row>
    <row r="3" ht="28" customHeight="1">
      <c r="A3" s="5" t="inlineStr">
        <is>
          <t>Brand</t>
        </is>
      </c>
      <c r="B3" s="5" t="inlineStr">
        <is>
          <t>Category</t>
        </is>
      </c>
      <c r="C3" s="5" t="inlineStr">
        <is>
          <t>Apr'25</t>
        </is>
      </c>
      <c r="D3" s="5" t="inlineStr">
        <is>
          <t>May'25</t>
        </is>
      </c>
      <c r="E3" s="5" t="inlineStr">
        <is>
          <t>Jun'25</t>
        </is>
      </c>
      <c r="F3" s="5" t="inlineStr">
        <is>
          <t>Jul'25</t>
        </is>
      </c>
      <c r="G3" s="5" t="inlineStr">
        <is>
          <t>Aug'25</t>
        </is>
      </c>
      <c r="H3" s="5" t="inlineStr">
        <is>
          <t>Sep'25</t>
        </is>
      </c>
      <c r="I3" s="5" t="inlineStr">
        <is>
          <t>Oct'25</t>
        </is>
      </c>
      <c r="J3" s="5" t="inlineStr">
        <is>
          <t>Nov'25</t>
        </is>
      </c>
      <c r="K3" s="5" t="inlineStr">
        <is>
          <t>Dec'25</t>
        </is>
      </c>
      <c r="L3" s="5" t="inlineStr">
        <is>
          <t>Jan'25</t>
        </is>
      </c>
      <c r="M3" s="5" t="inlineStr">
        <is>
          <t>Feb'25</t>
        </is>
      </c>
      <c r="N3" s="5" t="inlineStr">
        <is>
          <t>Mar'25</t>
        </is>
      </c>
      <c r="O3" s="5" t="inlineStr">
        <is>
          <t>Apr'26</t>
        </is>
      </c>
      <c r="P3" s="5" t="inlineStr">
        <is>
          <t>May'26</t>
        </is>
      </c>
    </row>
    <row r="4">
      <c r="A4" s="13" t="inlineStr">
        <is>
          <t>Mamaearth</t>
        </is>
      </c>
      <c r="B4" s="13" t="inlineStr">
        <is>
          <t>Face</t>
        </is>
      </c>
      <c r="C4" s="111" t="n">
        <v>15.9007</v>
      </c>
      <c r="D4" s="111" t="n">
        <v>11.4368</v>
      </c>
      <c r="E4" s="111" t="n">
        <v>9.6591</v>
      </c>
      <c r="F4" s="111" t="n">
        <v>9.8438</v>
      </c>
      <c r="G4" s="111" t="n">
        <v>9.175700000000001</v>
      </c>
      <c r="H4" s="111" t="n">
        <v>8.508699999999999</v>
      </c>
      <c r="I4" s="111" t="n">
        <v>11.2423</v>
      </c>
      <c r="J4" s="111" t="n">
        <v>11.9184</v>
      </c>
      <c r="K4" s="111" t="n">
        <v>9.306900000000001</v>
      </c>
      <c r="L4" s="111" t="n">
        <v>0</v>
      </c>
      <c r="M4" s="111" t="n">
        <v>0</v>
      </c>
      <c r="N4" s="111" t="n">
        <v>0</v>
      </c>
      <c r="O4" s="111" t="n">
        <v>20.0498</v>
      </c>
      <c r="P4" s="111" t="n">
        <v>15.2614</v>
      </c>
    </row>
    <row r="5">
      <c r="A5" s="13" t="inlineStr">
        <is>
          <t>Mamaearth</t>
        </is>
      </c>
      <c r="B5" s="13" t="inlineStr">
        <is>
          <t>Hair</t>
        </is>
      </c>
      <c r="C5" s="111" t="n">
        <v>7.635</v>
      </c>
      <c r="D5" s="111" t="n">
        <v>5.3597</v>
      </c>
      <c r="E5" s="111" t="n">
        <v>5.8434</v>
      </c>
      <c r="F5" s="111" t="n">
        <v>8.4824</v>
      </c>
      <c r="G5" s="111" t="n">
        <v>5.9802</v>
      </c>
      <c r="H5" s="111" t="n">
        <v>5.7138</v>
      </c>
      <c r="I5" s="111" t="n">
        <v>6.03</v>
      </c>
      <c r="J5" s="111" t="n">
        <v>7.1792</v>
      </c>
      <c r="K5" s="111" t="n">
        <v>6.8971</v>
      </c>
      <c r="L5" s="111" t="n">
        <v>0</v>
      </c>
      <c r="M5" s="111" t="n">
        <v>0</v>
      </c>
      <c r="N5" s="111" t="n">
        <v>0</v>
      </c>
      <c r="O5" s="111" t="n">
        <v>9.3225</v>
      </c>
      <c r="P5" s="111" t="n">
        <v>8.7301</v>
      </c>
    </row>
    <row r="6">
      <c r="A6" s="13" t="inlineStr">
        <is>
          <t>The Derma Co.</t>
        </is>
      </c>
      <c r="B6" s="13" t="inlineStr">
        <is>
          <t>Face</t>
        </is>
      </c>
      <c r="C6" s="111" t="n">
        <v>3.0148</v>
      </c>
      <c r="D6" s="111" t="n">
        <v>2.4105</v>
      </c>
      <c r="E6" s="111" t="n">
        <v>2.774</v>
      </c>
      <c r="F6" s="111" t="n">
        <v>2.5041</v>
      </c>
      <c r="G6" s="111" t="n">
        <v>2.5557</v>
      </c>
      <c r="H6" s="111" t="n">
        <v>2.4714</v>
      </c>
      <c r="I6" s="111" t="n">
        <v>2.5625</v>
      </c>
      <c r="J6" s="111" t="n">
        <v>4.9955</v>
      </c>
      <c r="K6" s="111" t="n">
        <v>5.8649</v>
      </c>
      <c r="L6" s="111" t="n">
        <v>0</v>
      </c>
      <c r="M6" s="111" t="n">
        <v>0</v>
      </c>
      <c r="N6" s="111" t="n">
        <v>0</v>
      </c>
      <c r="O6" s="111" t="n">
        <v>15.9714</v>
      </c>
      <c r="P6" s="111" t="n">
        <v>14.0662</v>
      </c>
    </row>
    <row r="7">
      <c r="A7" s="13" t="inlineStr">
        <is>
          <t>Mamaearth</t>
        </is>
      </c>
      <c r="B7" s="13" t="inlineStr">
        <is>
          <t>Body</t>
        </is>
      </c>
      <c r="C7" s="111" t="n">
        <v>1.809</v>
      </c>
      <c r="D7" s="111" t="n">
        <v>1.1083</v>
      </c>
      <c r="E7" s="111" t="n">
        <v>0.831</v>
      </c>
      <c r="F7" s="111" t="n">
        <v>1.1064</v>
      </c>
      <c r="G7" s="111" t="n">
        <v>1.937</v>
      </c>
      <c r="H7" s="111" t="n">
        <v>3.3743</v>
      </c>
      <c r="I7" s="111" t="n">
        <v>4.5195</v>
      </c>
      <c r="J7" s="111" t="n">
        <v>5.9683</v>
      </c>
      <c r="K7" s="111" t="n">
        <v>4.055</v>
      </c>
      <c r="L7" s="111" t="n">
        <v>0</v>
      </c>
      <c r="M7" s="111" t="n">
        <v>0</v>
      </c>
      <c r="N7" s="111" t="n">
        <v>0</v>
      </c>
      <c r="O7" s="111" t="n">
        <v>1.7566</v>
      </c>
      <c r="P7" s="111" t="n">
        <v>2.1697</v>
      </c>
    </row>
    <row r="8">
      <c r="A8" s="13" t="inlineStr">
        <is>
          <t>Mamaearth</t>
        </is>
      </c>
      <c r="B8" s="13" t="inlineStr">
        <is>
          <t>Baby</t>
        </is>
      </c>
      <c r="C8" s="111" t="n">
        <v>2.1443</v>
      </c>
      <c r="D8" s="111" t="n">
        <v>2.5588</v>
      </c>
      <c r="E8" s="111" t="n">
        <v>2.1482</v>
      </c>
      <c r="F8" s="111" t="n">
        <v>2.1917</v>
      </c>
      <c r="G8" s="111" t="n">
        <v>1.7488</v>
      </c>
      <c r="H8" s="111" t="n">
        <v>1.7735</v>
      </c>
      <c r="I8" s="111" t="n">
        <v>1.887</v>
      </c>
      <c r="J8" s="111" t="n">
        <v>2.6584</v>
      </c>
      <c r="K8" s="111" t="n">
        <v>1.8071</v>
      </c>
      <c r="L8" s="111" t="n">
        <v>0</v>
      </c>
      <c r="M8" s="111" t="n">
        <v>0</v>
      </c>
      <c r="N8" s="111" t="n">
        <v>0</v>
      </c>
      <c r="O8" s="111" t="n">
        <v>2.4517</v>
      </c>
      <c r="P8" s="111" t="n">
        <v>2.2008</v>
      </c>
    </row>
    <row r="9">
      <c r="A9" s="13" t="inlineStr">
        <is>
          <t>Aqualogica</t>
        </is>
      </c>
      <c r="B9" s="13" t="inlineStr">
        <is>
          <t>Face</t>
        </is>
      </c>
      <c r="C9" s="111" t="n">
        <v>0.8697</v>
      </c>
      <c r="D9" s="111" t="n">
        <v>0.5691000000000001</v>
      </c>
      <c r="E9" s="111" t="n">
        <v>0.3599</v>
      </c>
      <c r="F9" s="111" t="n">
        <v>0.3573</v>
      </c>
      <c r="G9" s="111" t="n">
        <v>0.2789</v>
      </c>
      <c r="H9" s="111" t="n">
        <v>0.2944</v>
      </c>
      <c r="I9" s="111" t="n">
        <v>0.3455</v>
      </c>
      <c r="J9" s="111" t="n">
        <v>0.3634</v>
      </c>
      <c r="K9" s="111" t="n">
        <v>0.3811</v>
      </c>
      <c r="L9" s="111" t="n">
        <v>0</v>
      </c>
      <c r="M9" s="111" t="n">
        <v>0</v>
      </c>
      <c r="N9" s="111" t="n">
        <v>0</v>
      </c>
      <c r="O9" s="111" t="n">
        <v>1.0469</v>
      </c>
      <c r="P9" s="111" t="n">
        <v>1.4269</v>
      </c>
    </row>
    <row r="10">
      <c r="A10" s="13" t="inlineStr">
        <is>
          <t>BBLUNT</t>
        </is>
      </c>
      <c r="B10" s="13" t="inlineStr">
        <is>
          <t>Hair Care</t>
        </is>
      </c>
      <c r="C10" s="111" t="n">
        <v>0.0621</v>
      </c>
      <c r="D10" s="111" t="n">
        <v>0.055</v>
      </c>
      <c r="E10" s="111" t="n">
        <v>0.0529</v>
      </c>
      <c r="F10" s="111" t="n">
        <v>0.0759</v>
      </c>
      <c r="G10" s="111" t="n">
        <v>0.0202</v>
      </c>
      <c r="H10" s="111" t="n">
        <v>0.0843</v>
      </c>
      <c r="I10" s="111" t="n">
        <v>0.021</v>
      </c>
      <c r="J10" s="111" t="n">
        <v>0.0521</v>
      </c>
      <c r="K10" s="111" t="n">
        <v>0.0081</v>
      </c>
      <c r="L10" s="111" t="n">
        <v>0</v>
      </c>
      <c r="M10" s="111" t="n">
        <v>0</v>
      </c>
      <c r="N10" s="111" t="n">
        <v>0</v>
      </c>
      <c r="O10" s="111" t="n">
        <v>0.0215</v>
      </c>
      <c r="P10" s="111" t="n">
        <v>0.008999999999999999</v>
      </c>
    </row>
    <row r="11">
      <c r="A11" s="13" t="inlineStr">
        <is>
          <t>Mamaearth</t>
        </is>
      </c>
      <c r="B11" s="13" t="inlineStr">
        <is>
          <t>Fragrances</t>
        </is>
      </c>
      <c r="C11" s="111" t="n">
        <v>0.2338</v>
      </c>
      <c r="D11" s="111" t="n">
        <v>0.1379</v>
      </c>
      <c r="E11" s="111" t="n">
        <v>0.0337</v>
      </c>
      <c r="F11" s="111" t="n">
        <v>0.0547</v>
      </c>
      <c r="G11" s="111" t="n">
        <v>0.0007</v>
      </c>
      <c r="H11" s="111" t="n">
        <v>0.0003</v>
      </c>
      <c r="I11" s="111" t="n">
        <v>-0.0039</v>
      </c>
      <c r="J11" s="111" t="n">
        <v>-0.0067</v>
      </c>
      <c r="K11" s="111" t="n">
        <v>-0.0291</v>
      </c>
      <c r="L11" s="111" t="n">
        <v>0</v>
      </c>
      <c r="M11" s="111" t="n">
        <v>0</v>
      </c>
      <c r="N11" s="111" t="n">
        <v>0</v>
      </c>
      <c r="O11" s="111" t="n">
        <v>-0.0051</v>
      </c>
      <c r="P11" s="111" t="n">
        <v>-0.0001</v>
      </c>
    </row>
    <row r="12">
      <c r="A12" s="13" t="inlineStr">
        <is>
          <t>BBLUNT</t>
        </is>
      </c>
      <c r="B12" s="13" t="inlineStr">
        <is>
          <t>Styling Products</t>
        </is>
      </c>
      <c r="C12" s="111" t="n">
        <v>0.0192</v>
      </c>
      <c r="D12" s="111" t="n">
        <v>0.0154</v>
      </c>
      <c r="E12" s="111" t="n">
        <v>0.0415</v>
      </c>
      <c r="F12" s="111" t="n">
        <v>0.0528</v>
      </c>
      <c r="G12" s="111" t="n">
        <v>0.0228</v>
      </c>
      <c r="H12" s="111" t="n">
        <v>0.0144</v>
      </c>
      <c r="I12" s="111" t="n">
        <v>0.0176</v>
      </c>
      <c r="J12" s="111" t="n">
        <v>0.038</v>
      </c>
      <c r="K12" s="111" t="n">
        <v>0.0196</v>
      </c>
      <c r="L12" s="111" t="n">
        <v>0</v>
      </c>
      <c r="M12" s="111" t="n">
        <v>0</v>
      </c>
      <c r="N12" s="111" t="n">
        <v>0</v>
      </c>
      <c r="O12" s="111" t="n">
        <v>0.0309</v>
      </c>
      <c r="P12" s="111" t="n">
        <v>0.0319</v>
      </c>
    </row>
    <row r="13">
      <c r="A13" s="13" t="inlineStr">
        <is>
          <t>Dr. Sheth's</t>
        </is>
      </c>
      <c r="B13" s="13" t="inlineStr">
        <is>
          <t>Face</t>
        </is>
      </c>
      <c r="C13" s="111" t="n">
        <v>0</v>
      </c>
      <c r="D13" s="111" t="n">
        <v>0</v>
      </c>
      <c r="E13" s="111" t="n">
        <v>0</v>
      </c>
      <c r="F13" s="111" t="n">
        <v>0</v>
      </c>
      <c r="G13" s="111" t="n">
        <v>0</v>
      </c>
      <c r="H13" s="111" t="n">
        <v>0.0048</v>
      </c>
      <c r="I13" s="111" t="n">
        <v>0.0597</v>
      </c>
      <c r="J13" s="111" t="n">
        <v>0.0756</v>
      </c>
      <c r="K13" s="111" t="n">
        <v>0.0317</v>
      </c>
      <c r="L13" s="111" t="n">
        <v>0</v>
      </c>
      <c r="M13" s="111" t="n">
        <v>0</v>
      </c>
      <c r="N13" s="111" t="n">
        <v>0</v>
      </c>
      <c r="O13" s="111" t="n">
        <v>0.0689</v>
      </c>
      <c r="P13" s="111" t="n">
        <v>0.0231</v>
      </c>
    </row>
    <row r="14">
      <c r="A14" s="13" t="inlineStr">
        <is>
          <t>BBLUNT</t>
        </is>
      </c>
      <c r="B14" s="13" t="inlineStr">
        <is>
          <t>Hair Colour</t>
        </is>
      </c>
      <c r="C14" s="111" t="n">
        <v>0.0298</v>
      </c>
      <c r="D14" s="111" t="n">
        <v>0.0327</v>
      </c>
      <c r="E14" s="111" t="n">
        <v>0.0268</v>
      </c>
      <c r="F14" s="111" t="n">
        <v>0.031</v>
      </c>
      <c r="G14" s="111" t="n">
        <v>0.0015</v>
      </c>
      <c r="H14" s="111" t="n">
        <v>-0.0041</v>
      </c>
      <c r="I14" s="111" t="n">
        <v>0.0086</v>
      </c>
      <c r="J14" s="111" t="n">
        <v>0.0183</v>
      </c>
      <c r="K14" s="111" t="n">
        <v>-0.0049</v>
      </c>
      <c r="L14" s="111" t="n">
        <v>0</v>
      </c>
      <c r="M14" s="111" t="n">
        <v>0</v>
      </c>
      <c r="N14" s="111" t="n">
        <v>0</v>
      </c>
      <c r="O14" s="111" t="n">
        <v>0.0137</v>
      </c>
      <c r="P14" s="111" t="n">
        <v>0.0282</v>
      </c>
    </row>
    <row r="15">
      <c r="A15" s="13" t="inlineStr">
        <is>
          <t>Aqualogica</t>
        </is>
      </c>
      <c r="B15" s="13" t="inlineStr">
        <is>
          <t>Fragrance</t>
        </is>
      </c>
      <c r="C15" s="111" t="n">
        <v>0</v>
      </c>
      <c r="D15" s="111" t="n">
        <v>0</v>
      </c>
      <c r="E15" s="111" t="n">
        <v>0.0028</v>
      </c>
      <c r="F15" s="111" t="n">
        <v>0.0065</v>
      </c>
      <c r="G15" s="111" t="n">
        <v>0.0026</v>
      </c>
      <c r="H15" s="111" t="n">
        <v>0.0046</v>
      </c>
      <c r="I15" s="111" t="n">
        <v>0.0518</v>
      </c>
      <c r="J15" s="111" t="n">
        <v>0.0065</v>
      </c>
      <c r="K15" s="111" t="n">
        <v>0.0059</v>
      </c>
      <c r="L15" s="111" t="n">
        <v>0</v>
      </c>
      <c r="M15" s="111" t="n">
        <v>0</v>
      </c>
      <c r="N15" s="111" t="n">
        <v>0</v>
      </c>
      <c r="O15" s="111" t="n">
        <v>0.0008</v>
      </c>
      <c r="P15" s="111" t="n">
        <v>0.0402</v>
      </c>
    </row>
    <row r="16">
      <c r="A16" s="13" t="inlineStr">
        <is>
          <t>The Derma Co.</t>
        </is>
      </c>
      <c r="B16" s="13" t="inlineStr">
        <is>
          <t>Body</t>
        </is>
      </c>
      <c r="C16" s="111" t="n">
        <v>0.0051</v>
      </c>
      <c r="D16" s="111" t="n">
        <v>0.0018</v>
      </c>
      <c r="E16" s="111" t="n">
        <v>0.0052</v>
      </c>
      <c r="F16" s="111" t="n">
        <v>0.008699999999999999</v>
      </c>
      <c r="G16" s="111" t="n">
        <v>0.0034</v>
      </c>
      <c r="H16" s="111" t="n">
        <v>0.0097</v>
      </c>
      <c r="I16" s="111" t="n">
        <v>-0.0023</v>
      </c>
      <c r="J16" s="111" t="n">
        <v>0.0244</v>
      </c>
      <c r="K16" s="111" t="n">
        <v>0.008999999999999999</v>
      </c>
      <c r="L16" s="111" t="n">
        <v>0</v>
      </c>
      <c r="M16" s="111" t="n">
        <v>0</v>
      </c>
      <c r="N16" s="111" t="n">
        <v>0</v>
      </c>
      <c r="O16" s="111" t="n">
        <v>0.009299999999999999</v>
      </c>
      <c r="P16" s="111" t="n">
        <v>0.0345</v>
      </c>
    </row>
    <row r="17">
      <c r="A17" s="13" t="inlineStr">
        <is>
          <t>Lumineve</t>
        </is>
      </c>
      <c r="B17" s="13" t="inlineStr">
        <is>
          <t>Face</t>
        </is>
      </c>
      <c r="C17" s="111" t="n">
        <v>0</v>
      </c>
      <c r="D17" s="111" t="n">
        <v>0</v>
      </c>
      <c r="E17" s="111" t="n">
        <v>0</v>
      </c>
      <c r="F17" s="111" t="n">
        <v>0</v>
      </c>
      <c r="G17" s="111" t="n">
        <v>0</v>
      </c>
      <c r="H17" s="111" t="n">
        <v>0</v>
      </c>
      <c r="I17" s="111" t="n">
        <v>0</v>
      </c>
      <c r="J17" s="111" t="n">
        <v>0</v>
      </c>
      <c r="K17" s="111" t="n">
        <v>0</v>
      </c>
      <c r="L17" s="111" t="n">
        <v>0</v>
      </c>
      <c r="M17" s="111" t="n">
        <v>0</v>
      </c>
      <c r="N17" s="111" t="n">
        <v>0</v>
      </c>
      <c r="O17" s="111" t="n">
        <v>0.0769</v>
      </c>
      <c r="P17" s="111" t="n">
        <v>0</v>
      </c>
    </row>
    <row r="18">
      <c r="A18" s="13" t="inlineStr">
        <is>
          <t>The Derma Co.</t>
        </is>
      </c>
      <c r="B18" s="13" t="inlineStr">
        <is>
          <t>Hair</t>
        </is>
      </c>
      <c r="C18" s="111" t="n">
        <v>0</v>
      </c>
      <c r="D18" s="111" t="n">
        <v>0</v>
      </c>
      <c r="E18" s="111" t="n">
        <v>0</v>
      </c>
      <c r="F18" s="111" t="n">
        <v>0</v>
      </c>
      <c r="G18" s="111" t="n">
        <v>-0</v>
      </c>
      <c r="H18" s="111" t="n">
        <v>0.0123</v>
      </c>
      <c r="I18" s="111" t="n">
        <v>0</v>
      </c>
      <c r="J18" s="111" t="n">
        <v>0</v>
      </c>
      <c r="K18" s="111" t="n">
        <v>-0.0002</v>
      </c>
      <c r="L18" s="111" t="n">
        <v>0</v>
      </c>
      <c r="M18" s="111" t="n">
        <v>0</v>
      </c>
      <c r="N18" s="111" t="n">
        <v>0</v>
      </c>
      <c r="O18" s="111" t="n">
        <v>0.0097</v>
      </c>
      <c r="P18" s="111" t="n">
        <v>0.0434</v>
      </c>
    </row>
    <row r="19">
      <c r="A19" s="13" t="inlineStr">
        <is>
          <t>Mamaearth</t>
        </is>
      </c>
      <c r="B19" s="13" t="inlineStr">
        <is>
          <t>Combo</t>
        </is>
      </c>
      <c r="C19" s="111" t="n">
        <v>-0.0001</v>
      </c>
      <c r="D19" s="111" t="n">
        <v>0</v>
      </c>
      <c r="E19" s="111" t="n">
        <v>0</v>
      </c>
      <c r="F19" s="111" t="n">
        <v>0</v>
      </c>
      <c r="G19" s="111" t="n">
        <v>0</v>
      </c>
      <c r="H19" s="111" t="n">
        <v>0</v>
      </c>
      <c r="I19" s="111" t="n">
        <v>0</v>
      </c>
      <c r="J19" s="111" t="n">
        <v>0</v>
      </c>
      <c r="K19" s="111" t="n">
        <v>0</v>
      </c>
      <c r="L19" s="111" t="n">
        <v>0</v>
      </c>
      <c r="M19" s="111" t="n">
        <v>0</v>
      </c>
      <c r="N19" s="111" t="n">
        <v>0</v>
      </c>
      <c r="O19" s="111" t="n">
        <v>0</v>
      </c>
      <c r="P19" s="111" t="n">
        <v>0.0631</v>
      </c>
    </row>
    <row r="20">
      <c r="A20" s="13" t="inlineStr">
        <is>
          <t>Staze</t>
        </is>
      </c>
      <c r="B20" s="13" t="inlineStr">
        <is>
          <t>Lip</t>
        </is>
      </c>
      <c r="C20" s="111" t="n">
        <v>0</v>
      </c>
      <c r="D20" s="111" t="n">
        <v>0.0003</v>
      </c>
      <c r="E20" s="111" t="n">
        <v>0.0235</v>
      </c>
      <c r="F20" s="111" t="n">
        <v>0</v>
      </c>
      <c r="G20" s="111" t="n">
        <v>0.01</v>
      </c>
      <c r="H20" s="111" t="n">
        <v>0.0053</v>
      </c>
      <c r="I20" s="111" t="n">
        <v>0.0062</v>
      </c>
      <c r="J20" s="111" t="n">
        <v>0.0059</v>
      </c>
      <c r="K20" s="111" t="n">
        <v>0</v>
      </c>
      <c r="L20" s="111" t="n">
        <v>0</v>
      </c>
      <c r="M20" s="111" t="n">
        <v>0</v>
      </c>
      <c r="N20" s="111" t="n">
        <v>0</v>
      </c>
      <c r="O20" s="111" t="n">
        <v>0</v>
      </c>
      <c r="P20" s="111" t="n">
        <v>0</v>
      </c>
    </row>
    <row r="21">
      <c r="A21" s="13" t="inlineStr">
        <is>
          <t>Pure Origin</t>
        </is>
      </c>
      <c r="B21" s="13" t="inlineStr">
        <is>
          <t>Face</t>
        </is>
      </c>
      <c r="C21" s="111" t="n">
        <v>0.02</v>
      </c>
      <c r="D21" s="111" t="n">
        <v>0.0217</v>
      </c>
      <c r="E21" s="111" t="n">
        <v>0.0038</v>
      </c>
      <c r="F21" s="111" t="n">
        <v>0</v>
      </c>
      <c r="G21" s="111" t="n">
        <v>0</v>
      </c>
      <c r="H21" s="111" t="n">
        <v>0</v>
      </c>
      <c r="I21" s="111" t="n">
        <v>0</v>
      </c>
      <c r="J21" s="111" t="n">
        <v>0</v>
      </c>
      <c r="K21" s="111" t="n">
        <v>0</v>
      </c>
      <c r="L21" s="111" t="n">
        <v>0</v>
      </c>
      <c r="M21" s="111" t="n">
        <v>0</v>
      </c>
      <c r="N21" s="111" t="n">
        <v>0</v>
      </c>
      <c r="O21" s="111" t="n">
        <v>0</v>
      </c>
      <c r="P21" s="111" t="n">
        <v>-0.0032</v>
      </c>
    </row>
    <row r="22">
      <c r="A22" s="13" t="inlineStr">
        <is>
          <t>The Derma Co.</t>
        </is>
      </c>
      <c r="B22" s="13" t="inlineStr">
        <is>
          <t>Combo</t>
        </is>
      </c>
      <c r="C22" s="111" t="n">
        <v>0</v>
      </c>
      <c r="D22" s="111" t="n">
        <v>0</v>
      </c>
      <c r="E22" s="111" t="n">
        <v>0</v>
      </c>
      <c r="F22" s="111" t="n">
        <v>0</v>
      </c>
      <c r="G22" s="111" t="n">
        <v>0</v>
      </c>
      <c r="H22" s="111" t="n">
        <v>0</v>
      </c>
      <c r="I22" s="111" t="n">
        <v>0</v>
      </c>
      <c r="J22" s="111" t="n">
        <v>0</v>
      </c>
      <c r="K22" s="111" t="n">
        <v>0</v>
      </c>
      <c r="L22" s="111" t="n">
        <v>0</v>
      </c>
      <c r="M22" s="111" t="n">
        <v>0</v>
      </c>
      <c r="N22" s="111" t="n">
        <v>0</v>
      </c>
      <c r="O22" s="111" t="n">
        <v>0</v>
      </c>
      <c r="P22" s="111" t="n">
        <v>0.008699999999999999</v>
      </c>
    </row>
    <row r="23">
      <c r="A23" s="13" t="inlineStr">
        <is>
          <t>Staze</t>
        </is>
      </c>
      <c r="B23" s="13" t="inlineStr">
        <is>
          <t>Face</t>
        </is>
      </c>
      <c r="C23" s="111" t="n">
        <v>0</v>
      </c>
      <c r="D23" s="111" t="n">
        <v>0</v>
      </c>
      <c r="E23" s="111" t="n">
        <v>0.003</v>
      </c>
      <c r="F23" s="111" t="n">
        <v>0</v>
      </c>
      <c r="G23" s="111" t="n">
        <v>0.0003</v>
      </c>
      <c r="H23" s="111" t="n">
        <v>0.0016</v>
      </c>
      <c r="I23" s="111" t="n">
        <v>0.0016</v>
      </c>
      <c r="J23" s="111" t="n">
        <v>0.0003</v>
      </c>
      <c r="K23" s="111" t="n">
        <v>0</v>
      </c>
      <c r="L23" s="111" t="n">
        <v>0</v>
      </c>
      <c r="M23" s="111" t="n">
        <v>0</v>
      </c>
      <c r="N23" s="111" t="n">
        <v>0</v>
      </c>
      <c r="O23" s="111" t="n">
        <v>0</v>
      </c>
      <c r="P23" s="111" t="n">
        <v>0</v>
      </c>
    </row>
    <row r="24">
      <c r="A24" s="13" t="inlineStr">
        <is>
          <t>Staze</t>
        </is>
      </c>
      <c r="B24" s="13" t="inlineStr">
        <is>
          <t>Eye</t>
        </is>
      </c>
      <c r="C24" s="111" t="n">
        <v>0</v>
      </c>
      <c r="D24" s="111" t="n">
        <v>0.0002</v>
      </c>
      <c r="E24" s="111" t="n">
        <v>0.0012</v>
      </c>
      <c r="F24" s="111" t="n">
        <v>0</v>
      </c>
      <c r="G24" s="111" t="n">
        <v>0.0002</v>
      </c>
      <c r="H24" s="111" t="n">
        <v>0.0009</v>
      </c>
      <c r="I24" s="111" t="n">
        <v>0.0009</v>
      </c>
      <c r="J24" s="111" t="n">
        <v>0.0005</v>
      </c>
      <c r="K24" s="111" t="n">
        <v>0</v>
      </c>
      <c r="L24" s="111" t="n">
        <v>0</v>
      </c>
      <c r="M24" s="111" t="n">
        <v>0</v>
      </c>
      <c r="N24" s="111" t="n">
        <v>0</v>
      </c>
      <c r="O24" s="111" t="n">
        <v>0</v>
      </c>
      <c r="P24" s="111" t="n">
        <v>0</v>
      </c>
    </row>
    <row r="25">
      <c r="A25" s="13" t="inlineStr">
        <is>
          <t>The Derma Co.</t>
        </is>
      </c>
      <c r="B25" s="13" t="inlineStr">
        <is>
          <t>Color Care</t>
        </is>
      </c>
      <c r="C25" s="111" t="n">
        <v>0.0018</v>
      </c>
      <c r="D25" s="111" t="n">
        <v>0.0015</v>
      </c>
      <c r="E25" s="111" t="n">
        <v>0</v>
      </c>
      <c r="F25" s="111" t="n">
        <v>0.0022</v>
      </c>
      <c r="G25" s="111" t="n">
        <v>-0.0002</v>
      </c>
      <c r="H25" s="111" t="n">
        <v>-0.002</v>
      </c>
      <c r="I25" s="111" t="n">
        <v>-0.0016</v>
      </c>
      <c r="J25" s="111" t="n">
        <v>0.0042</v>
      </c>
      <c r="K25" s="111" t="n">
        <v>0</v>
      </c>
      <c r="L25" s="111" t="n">
        <v>0</v>
      </c>
      <c r="M25" s="111" t="n">
        <v>0</v>
      </c>
      <c r="N25" s="111" t="n">
        <v>0</v>
      </c>
      <c r="O25" s="111" t="n">
        <v>-0.0026</v>
      </c>
      <c r="P25" s="111" t="n">
        <v>0</v>
      </c>
    </row>
    <row r="26">
      <c r="A26" s="13" t="inlineStr">
        <is>
          <t>Dr. Sheth's</t>
        </is>
      </c>
      <c r="B26" s="13" t="inlineStr">
        <is>
          <t>Body</t>
        </is>
      </c>
      <c r="C26" s="111" t="n">
        <v>0</v>
      </c>
      <c r="D26" s="111" t="n">
        <v>0</v>
      </c>
      <c r="E26" s="111" t="n">
        <v>0</v>
      </c>
      <c r="F26" s="111" t="n">
        <v>0</v>
      </c>
      <c r="G26" s="111" t="n">
        <v>0</v>
      </c>
      <c r="H26" s="111" t="n">
        <v>0</v>
      </c>
      <c r="I26" s="111" t="n">
        <v>0</v>
      </c>
      <c r="J26" s="111" t="n">
        <v>0</v>
      </c>
      <c r="K26" s="111" t="n">
        <v>0.001</v>
      </c>
      <c r="L26" s="111" t="n">
        <v>0</v>
      </c>
      <c r="M26" s="111" t="n">
        <v>0</v>
      </c>
      <c r="N26" s="111" t="n">
        <v>0</v>
      </c>
      <c r="O26" s="111" t="n">
        <v>0.0021</v>
      </c>
      <c r="P26" s="111" t="n">
        <v>0</v>
      </c>
    </row>
    <row r="27">
      <c r="A27" s="13" t="inlineStr">
        <is>
          <t>Staze</t>
        </is>
      </c>
      <c r="B27" s="13" t="inlineStr">
        <is>
          <t>Personal Care</t>
        </is>
      </c>
      <c r="C27" s="111" t="n">
        <v>0</v>
      </c>
      <c r="D27" s="111" t="n">
        <v>0</v>
      </c>
      <c r="E27" s="111" t="n">
        <v>0</v>
      </c>
      <c r="F27" s="111" t="n">
        <v>0</v>
      </c>
      <c r="G27" s="111" t="n">
        <v>0</v>
      </c>
      <c r="H27" s="111" t="n">
        <v>0.0012</v>
      </c>
      <c r="I27" s="111" t="n">
        <v>0.0012</v>
      </c>
      <c r="J27" s="111" t="n">
        <v>0</v>
      </c>
      <c r="K27" s="111" t="n">
        <v>0</v>
      </c>
      <c r="L27" s="111" t="n">
        <v>0</v>
      </c>
      <c r="M27" s="111" t="n">
        <v>0</v>
      </c>
      <c r="N27" s="111" t="n">
        <v>0</v>
      </c>
      <c r="O27" s="111" t="n">
        <v>0</v>
      </c>
      <c r="P27" s="111" t="n">
        <v>0</v>
      </c>
    </row>
    <row r="28">
      <c r="A28" s="13" t="inlineStr">
        <is>
          <t>Staze</t>
        </is>
      </c>
      <c r="B28" s="13" t="inlineStr">
        <is>
          <t>Makeup Combo</t>
        </is>
      </c>
      <c r="C28" s="111" t="n">
        <v>0</v>
      </c>
      <c r="D28" s="111" t="n">
        <v>0</v>
      </c>
      <c r="E28" s="111" t="n">
        <v>0</v>
      </c>
      <c r="F28" s="111" t="n">
        <v>0</v>
      </c>
      <c r="G28" s="111" t="n">
        <v>0</v>
      </c>
      <c r="H28" s="111" t="n">
        <v>0</v>
      </c>
      <c r="I28" s="111" t="n">
        <v>0</v>
      </c>
      <c r="J28" s="111" t="n">
        <v>0.0015</v>
      </c>
      <c r="K28" s="111" t="n">
        <v>0</v>
      </c>
      <c r="L28" s="111" t="n">
        <v>0</v>
      </c>
      <c r="M28" s="111" t="n">
        <v>0</v>
      </c>
      <c r="N28" s="111" t="n">
        <v>0</v>
      </c>
      <c r="O28" s="111" t="n">
        <v>0</v>
      </c>
      <c r="P28" s="111" t="n">
        <v>0</v>
      </c>
    </row>
    <row r="29">
      <c r="A29" s="13" t="inlineStr">
        <is>
          <t>BBLUNT</t>
        </is>
      </c>
      <c r="B29" s="13" t="inlineStr">
        <is>
          <t>Salon Secret</t>
        </is>
      </c>
      <c r="C29" s="111" t="n">
        <v>-0.0002</v>
      </c>
      <c r="D29" s="111" t="n">
        <v>0</v>
      </c>
      <c r="E29" s="111" t="n">
        <v>0</v>
      </c>
      <c r="F29" s="111" t="n">
        <v>0</v>
      </c>
      <c r="G29" s="111" t="n">
        <v>-0.001</v>
      </c>
      <c r="H29" s="111" t="n">
        <v>0</v>
      </c>
      <c r="I29" s="111" t="n">
        <v>0</v>
      </c>
      <c r="J29" s="111" t="n">
        <v>0</v>
      </c>
      <c r="K29" s="111" t="n">
        <v>0</v>
      </c>
      <c r="L29" s="111" t="n">
        <v>0</v>
      </c>
      <c r="M29" s="111" t="n">
        <v>0</v>
      </c>
      <c r="N29" s="111" t="n">
        <v>0</v>
      </c>
      <c r="O29" s="111" t="n">
        <v>0</v>
      </c>
      <c r="P29" s="111" t="n">
        <v>0</v>
      </c>
    </row>
    <row r="30">
      <c r="A30" s="13" t="inlineStr">
        <is>
          <t>BBLUNT</t>
        </is>
      </c>
      <c r="B30" s="13" t="inlineStr">
        <is>
          <t>Premium Range</t>
        </is>
      </c>
      <c r="C30" s="111" t="n">
        <v>-0.0002</v>
      </c>
      <c r="D30" s="111" t="n">
        <v>0</v>
      </c>
      <c r="E30" s="111" t="n">
        <v>0</v>
      </c>
      <c r="F30" s="111" t="n">
        <v>0</v>
      </c>
      <c r="G30" s="111" t="n">
        <v>-0.0005</v>
      </c>
      <c r="H30" s="111" t="n">
        <v>0</v>
      </c>
      <c r="I30" s="111" t="n">
        <v>0</v>
      </c>
      <c r="J30" s="111" t="n">
        <v>-0.0004</v>
      </c>
      <c r="K30" s="111" t="n">
        <v>-0.0001</v>
      </c>
      <c r="L30" s="111" t="n">
        <v>0</v>
      </c>
      <c r="M30" s="111" t="n">
        <v>0</v>
      </c>
      <c r="N30" s="111" t="n">
        <v>0</v>
      </c>
      <c r="O30" s="111" t="n">
        <v>0</v>
      </c>
      <c r="P30" s="111" t="n">
        <v>0</v>
      </c>
    </row>
    <row r="31">
      <c r="A31" s="13" t="inlineStr">
        <is>
          <t>Aqualogica</t>
        </is>
      </c>
      <c r="B31" s="13" t="inlineStr">
        <is>
          <t>Lip</t>
        </is>
      </c>
      <c r="C31" s="111" t="n">
        <v>-0.0014</v>
      </c>
      <c r="D31" s="111" t="n">
        <v>0</v>
      </c>
      <c r="E31" s="111" t="n">
        <v>0.0003</v>
      </c>
      <c r="F31" s="111" t="n">
        <v>0</v>
      </c>
      <c r="G31" s="111" t="n">
        <v>-0.0002</v>
      </c>
      <c r="H31" s="111" t="n">
        <v>0</v>
      </c>
      <c r="I31" s="111" t="n">
        <v>0</v>
      </c>
      <c r="J31" s="111" t="n">
        <v>0</v>
      </c>
      <c r="K31" s="111" t="n">
        <v>-0.0002</v>
      </c>
      <c r="L31" s="111" t="n">
        <v>0</v>
      </c>
      <c r="M31" s="111" t="n">
        <v>0</v>
      </c>
      <c r="N31" s="111" t="n">
        <v>0</v>
      </c>
      <c r="O31" s="111" t="n">
        <v>0</v>
      </c>
      <c r="P31" s="111" t="n">
        <v>0</v>
      </c>
    </row>
    <row r="32">
      <c r="A32" s="13" t="inlineStr">
        <is>
          <t>Aqualogica</t>
        </is>
      </c>
      <c r="B32" s="13" t="inlineStr">
        <is>
          <t>Body</t>
        </is>
      </c>
      <c r="C32" s="111" t="n">
        <v>-0.0008</v>
      </c>
      <c r="D32" s="111" t="n">
        <v>0.0002</v>
      </c>
      <c r="E32" s="111" t="n">
        <v>-0.0003</v>
      </c>
      <c r="F32" s="111" t="n">
        <v>0.0002</v>
      </c>
      <c r="G32" s="111" t="n">
        <v>-0.0005</v>
      </c>
      <c r="H32" s="111" t="n">
        <v>0</v>
      </c>
      <c r="I32" s="111" t="n">
        <v>0</v>
      </c>
      <c r="J32" s="111" t="n">
        <v>-0.0003</v>
      </c>
      <c r="K32" s="111" t="n">
        <v>-0.0001</v>
      </c>
      <c r="L32" s="111" t="n">
        <v>0</v>
      </c>
      <c r="M32" s="111" t="n">
        <v>0</v>
      </c>
      <c r="N32" s="111" t="n">
        <v>0</v>
      </c>
      <c r="O32" s="111" t="n">
        <v>0</v>
      </c>
      <c r="P32" s="111" t="n">
        <v>0</v>
      </c>
    </row>
    <row r="33">
      <c r="A33" s="13" t="inlineStr">
        <is>
          <t>Mamaearth</t>
        </is>
      </c>
      <c r="B33" s="13" t="inlineStr">
        <is>
          <t>Color Care</t>
        </is>
      </c>
      <c r="C33" s="111" t="n">
        <v>0.0035</v>
      </c>
      <c r="D33" s="111" t="n">
        <v>-0.0408</v>
      </c>
      <c r="E33" s="111" t="n">
        <v>0.0165</v>
      </c>
      <c r="F33" s="111" t="n">
        <v>0.0114</v>
      </c>
      <c r="G33" s="111" t="n">
        <v>-0.1117</v>
      </c>
      <c r="H33" s="111" t="n">
        <v>-0.032</v>
      </c>
      <c r="I33" s="111" t="n">
        <v>0.0012</v>
      </c>
      <c r="J33" s="111" t="n">
        <v>-0.0097</v>
      </c>
      <c r="K33" s="111" t="n">
        <v>-0.1468</v>
      </c>
      <c r="L33" s="111" t="n">
        <v>0</v>
      </c>
      <c r="M33" s="111" t="n">
        <v>0</v>
      </c>
      <c r="N33" s="111" t="n">
        <v>0</v>
      </c>
      <c r="O33" s="111" t="n">
        <v>-0.0564</v>
      </c>
      <c r="P33" s="111" t="n">
        <v>0.0236</v>
      </c>
    </row>
    <row r="34">
      <c r="A34" s="112" t="inlineStr">
        <is>
          <t>COMPANY TOTAL</t>
        </is>
      </c>
      <c r="B34" s="112" t="inlineStr"/>
      <c r="C34" s="113">
        <f>SUM(C4:C33)</f>
        <v/>
      </c>
      <c r="D34" s="113">
        <f>SUM(D4:D33)</f>
        <v/>
      </c>
      <c r="E34" s="113">
        <f>SUM(E4:E33)</f>
        <v/>
      </c>
      <c r="F34" s="113">
        <f>SUM(F4:F33)</f>
        <v/>
      </c>
      <c r="G34" s="113">
        <f>SUM(G4:G33)</f>
        <v/>
      </c>
      <c r="H34" s="113">
        <f>SUM(H4:H33)</f>
        <v/>
      </c>
      <c r="I34" s="113">
        <f>SUM(I4:I33)</f>
        <v/>
      </c>
      <c r="J34" s="113">
        <f>SUM(J4:J33)</f>
        <v/>
      </c>
      <c r="K34" s="113">
        <f>SUM(K4:K33)</f>
        <v/>
      </c>
      <c r="L34" s="113">
        <f>SUM(L4:L33)</f>
        <v/>
      </c>
      <c r="M34" s="113">
        <f>SUM(M4:M33)</f>
        <v/>
      </c>
      <c r="N34" s="113">
        <f>SUM(N4:N33)</f>
        <v/>
      </c>
      <c r="O34" s="113">
        <f>SUM(O4:O33)</f>
        <v/>
      </c>
      <c r="P34" s="113">
        <f>SUM(P4:P33)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</cols>
  <sheetData>
    <row r="1" ht="26" customHeight="1">
      <c r="A1" s="1" t="inlineStr">
        <is>
          <t>OFFTAKE HISTORY  ·  real store offtake by Brand × Category (₹ Cr, MRP)</t>
        </is>
      </c>
    </row>
    <row r="2">
      <c r="A2" s="12" t="inlineStr">
        <is>
          <t>Real store-level offtake (source: Offtake_Monthly). Available months: Apr'26–May'26. Used for Primary-vs-Offtake and sell-through-based primary planning.</t>
        </is>
      </c>
    </row>
    <row r="3" ht="28" customHeight="1">
      <c r="A3" s="5" t="inlineStr">
        <is>
          <t>Brand</t>
        </is>
      </c>
      <c r="B3" s="5" t="inlineStr">
        <is>
          <t>Category</t>
        </is>
      </c>
      <c r="C3" s="5" t="inlineStr">
        <is>
          <t>Apr'26</t>
        </is>
      </c>
      <c r="D3" s="5" t="inlineStr">
        <is>
          <t>May'26</t>
        </is>
      </c>
      <c r="E3" s="5" t="inlineStr">
        <is>
          <t>Latest Offtake</t>
        </is>
      </c>
    </row>
    <row r="4">
      <c r="A4" s="13" t="inlineStr">
        <is>
          <t>Mamaearth</t>
        </is>
      </c>
      <c r="B4" s="13" t="inlineStr">
        <is>
          <t>Face</t>
        </is>
      </c>
      <c r="C4" s="111" t="n">
        <v>26.6306</v>
      </c>
      <c r="D4" s="111" t="n">
        <v>44.0883</v>
      </c>
      <c r="E4" s="114">
        <f>D4</f>
        <v/>
      </c>
    </row>
    <row r="5">
      <c r="A5" s="13" t="inlineStr">
        <is>
          <t>The Derma Co.</t>
        </is>
      </c>
      <c r="B5" s="13" t="inlineStr">
        <is>
          <t>Face</t>
        </is>
      </c>
      <c r="C5" s="111" t="n">
        <v>18.3728</v>
      </c>
      <c r="D5" s="111" t="n">
        <v>26.2195</v>
      </c>
      <c r="E5" s="114">
        <f>D5</f>
        <v/>
      </c>
    </row>
    <row r="6">
      <c r="A6" s="13" t="inlineStr">
        <is>
          <t>Mamaearth</t>
        </is>
      </c>
      <c r="B6" s="13" t="inlineStr">
        <is>
          <t>Hair</t>
        </is>
      </c>
      <c r="C6" s="111" t="n">
        <v>10.4807</v>
      </c>
      <c r="D6" s="111" t="n">
        <v>24.1948</v>
      </c>
      <c r="E6" s="114">
        <f>D6</f>
        <v/>
      </c>
    </row>
    <row r="7">
      <c r="A7" s="13" t="inlineStr">
        <is>
          <t>Mamaearth</t>
        </is>
      </c>
      <c r="B7" s="13" t="inlineStr">
        <is>
          <t>Body</t>
        </is>
      </c>
      <c r="C7" s="111" t="n">
        <v>3.9288</v>
      </c>
      <c r="D7" s="111" t="n">
        <v>6.2024</v>
      </c>
      <c r="E7" s="114">
        <f>D7</f>
        <v/>
      </c>
    </row>
    <row r="8">
      <c r="A8" s="13" t="inlineStr">
        <is>
          <t>Mamaearth</t>
        </is>
      </c>
      <c r="B8" s="13" t="inlineStr">
        <is>
          <t>Baby</t>
        </is>
      </c>
      <c r="C8" s="111" t="n">
        <v>3.4349</v>
      </c>
      <c r="D8" s="111" t="n">
        <v>4.452</v>
      </c>
      <c r="E8" s="114">
        <f>D8</f>
        <v/>
      </c>
    </row>
    <row r="9">
      <c r="A9" s="13" t="inlineStr">
        <is>
          <t>Aqualogica</t>
        </is>
      </c>
      <c r="B9" s="13" t="inlineStr">
        <is>
          <t>Face</t>
        </is>
      </c>
      <c r="C9" s="111" t="n">
        <v>0.7524999999999999</v>
      </c>
      <c r="D9" s="111" t="n">
        <v>1.4376</v>
      </c>
      <c r="E9" s="114">
        <f>D9</f>
        <v/>
      </c>
    </row>
    <row r="10">
      <c r="A10" s="13" t="inlineStr">
        <is>
          <t>Dr. Sheth's</t>
        </is>
      </c>
      <c r="B10" s="13" t="inlineStr">
        <is>
          <t>Face</t>
        </is>
      </c>
      <c r="C10" s="111" t="n">
        <v>0.08749999999999999</v>
      </c>
      <c r="D10" s="111" t="n">
        <v>0.08260000000000001</v>
      </c>
      <c r="E10" s="114">
        <f>D10</f>
        <v/>
      </c>
    </row>
    <row r="11">
      <c r="A11" s="13" t="inlineStr">
        <is>
          <t>BBLUNT</t>
        </is>
      </c>
      <c r="B11" s="13" t="inlineStr">
        <is>
          <t>Styling Products</t>
        </is>
      </c>
      <c r="C11" s="111" t="n">
        <v>0.0519</v>
      </c>
      <c r="D11" s="111" t="n">
        <v>0.0522</v>
      </c>
      <c r="E11" s="114">
        <f>D11</f>
        <v/>
      </c>
    </row>
    <row r="12">
      <c r="A12" s="13" t="inlineStr">
        <is>
          <t>BBLUNT</t>
        </is>
      </c>
      <c r="B12" s="13" t="inlineStr">
        <is>
          <t>Hair Care</t>
        </is>
      </c>
      <c r="C12" s="111" t="n">
        <v>0.0233</v>
      </c>
      <c r="D12" s="111" t="n">
        <v>0.0683</v>
      </c>
      <c r="E12" s="114">
        <f>D12</f>
        <v/>
      </c>
    </row>
    <row r="13">
      <c r="A13" s="13" t="inlineStr">
        <is>
          <t>Mamaearth</t>
        </is>
      </c>
      <c r="B13" s="13" t="inlineStr">
        <is>
          <t>Color Care</t>
        </is>
      </c>
      <c r="C13" s="111" t="n">
        <v>0.0233</v>
      </c>
      <c r="D13" s="111" t="n">
        <v>0.0409</v>
      </c>
      <c r="E13" s="114">
        <f>D13</f>
        <v/>
      </c>
    </row>
    <row r="14">
      <c r="A14" s="13" t="inlineStr">
        <is>
          <t>The Derma Co.</t>
        </is>
      </c>
      <c r="B14" s="13" t="inlineStr">
        <is>
          <t>Hair</t>
        </is>
      </c>
      <c r="C14" s="111" t="n">
        <v>0.0217</v>
      </c>
      <c r="D14" s="111" t="n">
        <v>0.0275</v>
      </c>
      <c r="E14" s="114">
        <f>D14</f>
        <v/>
      </c>
    </row>
    <row r="15">
      <c r="A15" s="13" t="inlineStr">
        <is>
          <t>BBLUNT</t>
        </is>
      </c>
      <c r="B15" s="13" t="inlineStr">
        <is>
          <t>Hair Colour</t>
        </is>
      </c>
      <c r="C15" s="111" t="n">
        <v>0.0209</v>
      </c>
      <c r="D15" s="111" t="n">
        <v>0.0277</v>
      </c>
      <c r="E15" s="114">
        <f>D15</f>
        <v/>
      </c>
    </row>
    <row r="16">
      <c r="A16" s="13" t="inlineStr">
        <is>
          <t>The Derma Co.</t>
        </is>
      </c>
      <c r="B16" s="13" t="inlineStr">
        <is>
          <t>Body</t>
        </is>
      </c>
      <c r="C16" s="111" t="n">
        <v>0.0136</v>
      </c>
      <c r="D16" s="111" t="n">
        <v>0.0246</v>
      </c>
      <c r="E16" s="114">
        <f>D16</f>
        <v/>
      </c>
    </row>
    <row r="17">
      <c r="A17" s="13" t="inlineStr">
        <is>
          <t>Mamaearth</t>
        </is>
      </c>
      <c r="B17" s="13" t="inlineStr">
        <is>
          <t>Fragrances</t>
        </is>
      </c>
      <c r="C17" s="111" t="n">
        <v>0</v>
      </c>
      <c r="D17" s="111" t="n">
        <v>0.0152</v>
      </c>
      <c r="E17" s="114">
        <f>D17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5" customWidth="1" min="4" max="4"/>
    <col width="12" customWidth="1" min="5" max="5"/>
    <col width="11" customWidth="1" min="6" max="6"/>
    <col width="11" customWidth="1" min="7" max="7"/>
    <col width="12" customWidth="1" min="8" max="8"/>
    <col width="11" customWidth="1" min="9" max="9"/>
    <col width="12" customWidth="1" min="10" max="10"/>
    <col width="12" customWidth="1" min="11" max="11"/>
  </cols>
  <sheetData>
    <row r="1" ht="26" customHeight="1">
      <c r="A1" s="1" t="inlineStr">
        <is>
          <t>DISTRIBUTOR MASTER  ·  real MT ship-to accounts + service inputs</t>
        </is>
      </c>
    </row>
    <row r="2">
      <c r="A2" s="12" t="inlineStr">
        <is>
          <t>Distributor names &amp; primary NSV are real (top accounts by primary). Blue cells (Lead Time, Credit Days, MOQ, Service Level, Fill Rate, Inventory Days, Recent Growth) are planner/DMS inputs — example values shown; replace with actuals.</t>
        </is>
      </c>
    </row>
    <row r="3" ht="28" customHeight="1">
      <c r="A3" s="5" t="inlineStr">
        <is>
          <t>Distributor</t>
        </is>
      </c>
      <c r="B3" s="5" t="inlineStr">
        <is>
          <t>Warehouse</t>
        </is>
      </c>
      <c r="C3" s="5" t="inlineStr">
        <is>
          <t>Region/Zone</t>
        </is>
      </c>
      <c r="D3" s="5" t="inlineStr">
        <is>
          <t>Primary NSV (₹ Cr)</t>
        </is>
      </c>
      <c r="E3" s="5" t="inlineStr">
        <is>
          <t>Lead Time (days)</t>
        </is>
      </c>
      <c r="F3" s="5" t="inlineStr">
        <is>
          <t>Credit Days</t>
        </is>
      </c>
      <c r="G3" s="5" t="inlineStr">
        <is>
          <t>MOQ (units)</t>
        </is>
      </c>
      <c r="H3" s="5" t="inlineStr">
        <is>
          <t>Service Level %</t>
        </is>
      </c>
      <c r="I3" s="5" t="inlineStr">
        <is>
          <t>Fill Rate %</t>
        </is>
      </c>
      <c r="J3" s="5" t="inlineStr">
        <is>
          <t>Inventory Days</t>
        </is>
      </c>
      <c r="K3" s="5" t="inlineStr">
        <is>
          <t>Recent Growth %</t>
        </is>
      </c>
    </row>
    <row r="4">
      <c r="A4" s="56" t="inlineStr">
        <is>
          <t>Avenue Supermarts Ltd.-DC-1039</t>
        </is>
      </c>
      <c r="B4" s="101" t="inlineStr">
        <is>
          <t>Mumbai</t>
        </is>
      </c>
      <c r="C4" s="101" t="inlineStr">
        <is>
          <t>West</t>
        </is>
      </c>
      <c r="D4" s="111" t="n">
        <v>18.184</v>
      </c>
      <c r="E4" s="115" t="n">
        <v>7</v>
      </c>
      <c r="F4" s="115" t="n">
        <v>21</v>
      </c>
      <c r="G4" s="115" t="n">
        <v>100</v>
      </c>
      <c r="H4" s="116" t="n">
        <v>0.95</v>
      </c>
      <c r="I4" s="116" t="n">
        <v>0.8100000000000001</v>
      </c>
      <c r="J4" s="115" t="n">
        <v>20</v>
      </c>
      <c r="K4" s="116" t="n">
        <v>0.03</v>
      </c>
    </row>
    <row r="5">
      <c r="A5" s="56" t="inlineStr">
        <is>
          <t>Sri Vijaya Durga Agencies_Mt</t>
        </is>
      </c>
      <c r="B5" s="101" t="inlineStr">
        <is>
          <t>Bangalore</t>
        </is>
      </c>
      <c r="C5" s="101" t="inlineStr">
        <is>
          <t>South-2</t>
        </is>
      </c>
      <c r="D5" s="111" t="n">
        <v>16.852</v>
      </c>
      <c r="E5" s="115" t="n">
        <v>3</v>
      </c>
      <c r="F5" s="115" t="n">
        <v>45</v>
      </c>
      <c r="G5" s="115" t="n">
        <v>50</v>
      </c>
      <c r="H5" s="116" t="n">
        <v>0.88</v>
      </c>
      <c r="I5" s="116" t="n">
        <v>0.88</v>
      </c>
      <c r="J5" s="115" t="n">
        <v>20</v>
      </c>
      <c r="K5" s="116" t="n">
        <v>-0.03</v>
      </c>
    </row>
    <row r="6">
      <c r="A6" s="56" t="inlineStr">
        <is>
          <t>JUST MARK-Dmart_ship to</t>
        </is>
      </c>
      <c r="B6" s="101" t="inlineStr">
        <is>
          <t>Mumbai</t>
        </is>
      </c>
      <c r="C6" s="101" t="inlineStr">
        <is>
          <t>West</t>
        </is>
      </c>
      <c r="D6" s="111" t="n">
        <v>15.772</v>
      </c>
      <c r="E6" s="115" t="n">
        <v>10</v>
      </c>
      <c r="F6" s="115" t="n">
        <v>21</v>
      </c>
      <c r="G6" s="115" t="n">
        <v>200</v>
      </c>
      <c r="H6" s="116" t="n">
        <v>0.89</v>
      </c>
      <c r="I6" s="116" t="n">
        <v>0.84</v>
      </c>
      <c r="J6" s="115" t="n">
        <v>20</v>
      </c>
      <c r="K6" s="116" t="n">
        <v>0.14</v>
      </c>
    </row>
    <row r="7">
      <c r="A7" s="56" t="inlineStr">
        <is>
          <t>G.V Enterprises</t>
        </is>
      </c>
      <c r="B7" s="101" t="inlineStr">
        <is>
          <t>Bangalore</t>
        </is>
      </c>
      <c r="C7" s="101" t="inlineStr">
        <is>
          <t>South-1</t>
        </is>
      </c>
      <c r="D7" s="111" t="n">
        <v>13.791</v>
      </c>
      <c r="E7" s="115" t="n">
        <v>10</v>
      </c>
      <c r="F7" s="115" t="n">
        <v>21</v>
      </c>
      <c r="G7" s="115" t="n">
        <v>50</v>
      </c>
      <c r="H7" s="116" t="n">
        <v>0.89</v>
      </c>
      <c r="I7" s="116" t="n">
        <v>0.95</v>
      </c>
      <c r="J7" s="115" t="n">
        <v>45</v>
      </c>
      <c r="K7" s="116" t="n">
        <v>0.06</v>
      </c>
    </row>
    <row r="8">
      <c r="A8" s="56" t="inlineStr">
        <is>
          <t>Avenue Supermarts Ltd.-DC-1032</t>
        </is>
      </c>
      <c r="B8" s="101" t="inlineStr">
        <is>
          <t>Bangalore</t>
        </is>
      </c>
      <c r="C8" s="101" t="inlineStr">
        <is>
          <t>South-1</t>
        </is>
      </c>
      <c r="D8" s="111" t="n">
        <v>11.522</v>
      </c>
      <c r="E8" s="115" t="n">
        <v>3</v>
      </c>
      <c r="F8" s="115" t="n">
        <v>45</v>
      </c>
      <c r="G8" s="115" t="n">
        <v>100</v>
      </c>
      <c r="H8" s="116" t="n">
        <v>0.9399999999999999</v>
      </c>
      <c r="I8" s="116" t="n">
        <v>0.92</v>
      </c>
      <c r="J8" s="115" t="n">
        <v>20</v>
      </c>
      <c r="K8" s="116" t="n">
        <v>0.14</v>
      </c>
    </row>
    <row r="9">
      <c r="A9" s="56" t="inlineStr">
        <is>
          <t>Kiran Trading Company_Ship to</t>
        </is>
      </c>
      <c r="B9" s="101" t="inlineStr">
        <is>
          <t>Mumbai</t>
        </is>
      </c>
      <c r="C9" s="101" t="inlineStr">
        <is>
          <t>West</t>
        </is>
      </c>
      <c r="D9" s="111" t="n">
        <v>10.078</v>
      </c>
      <c r="E9" s="115" t="n">
        <v>5</v>
      </c>
      <c r="F9" s="115" t="n">
        <v>30</v>
      </c>
      <c r="G9" s="115" t="n">
        <v>50</v>
      </c>
      <c r="H9" s="116" t="n">
        <v>0.9399999999999999</v>
      </c>
      <c r="I9" s="116" t="n">
        <v>0.8100000000000001</v>
      </c>
      <c r="J9" s="115" t="n">
        <v>20</v>
      </c>
      <c r="K9" s="116" t="n">
        <v>0.16</v>
      </c>
    </row>
    <row r="10">
      <c r="A10" s="56" t="inlineStr">
        <is>
          <t>Avenue Supermarts Ltd.-DC-1049</t>
        </is>
      </c>
      <c r="B10" s="101" t="inlineStr">
        <is>
          <t>Gurgaon</t>
        </is>
      </c>
      <c r="C10" s="101" t="inlineStr">
        <is>
          <t>North</t>
        </is>
      </c>
      <c r="D10" s="111" t="n">
        <v>8.492000000000001</v>
      </c>
      <c r="E10" s="115" t="n">
        <v>10</v>
      </c>
      <c r="F10" s="115" t="n">
        <v>45</v>
      </c>
      <c r="G10" s="115" t="n">
        <v>200</v>
      </c>
      <c r="H10" s="116" t="n">
        <v>0.93</v>
      </c>
      <c r="I10" s="116" t="n">
        <v>0.86</v>
      </c>
      <c r="J10" s="115" t="n">
        <v>60</v>
      </c>
      <c r="K10" s="116" t="n">
        <v>0.03</v>
      </c>
    </row>
    <row r="11">
      <c r="A11" s="56" t="inlineStr">
        <is>
          <t>Wellness Forever Medicare Ltd</t>
        </is>
      </c>
      <c r="B11" s="101" t="inlineStr">
        <is>
          <t>Mumbai</t>
        </is>
      </c>
      <c r="C11" s="101" t="inlineStr">
        <is>
          <t>West</t>
        </is>
      </c>
      <c r="D11" s="111" t="n">
        <v>8.262</v>
      </c>
      <c r="E11" s="115" t="n">
        <v>5</v>
      </c>
      <c r="F11" s="115" t="n">
        <v>21</v>
      </c>
      <c r="G11" s="115" t="n">
        <v>200</v>
      </c>
      <c r="H11" s="116" t="n">
        <v>0.97</v>
      </c>
      <c r="I11" s="116" t="n">
        <v>0.8100000000000001</v>
      </c>
      <c r="J11" s="115" t="n">
        <v>45</v>
      </c>
      <c r="K11" s="116" t="n">
        <v>0.11</v>
      </c>
    </row>
    <row r="12">
      <c r="A12" s="56" t="inlineStr">
        <is>
          <t>Apollo Healthco Limited_Faridabad</t>
        </is>
      </c>
      <c r="B12" s="101" t="inlineStr">
        <is>
          <t>Gurgaon</t>
        </is>
      </c>
      <c r="C12" s="101" t="inlineStr">
        <is>
          <t>North</t>
        </is>
      </c>
      <c r="D12" s="111" t="n">
        <v>7.068</v>
      </c>
      <c r="E12" s="115" t="n">
        <v>7</v>
      </c>
      <c r="F12" s="115" t="n">
        <v>45</v>
      </c>
      <c r="G12" s="115" t="n">
        <v>100</v>
      </c>
      <c r="H12" s="116" t="n">
        <v>0.91</v>
      </c>
      <c r="I12" s="116" t="n">
        <v>0.98</v>
      </c>
      <c r="J12" s="115" t="n">
        <v>20</v>
      </c>
      <c r="K12" s="116" t="n">
        <v>0.11</v>
      </c>
    </row>
    <row r="13">
      <c r="A13" s="56" t="inlineStr">
        <is>
          <t>Avenue Supermarts Ltd.-DC-1050</t>
        </is>
      </c>
      <c r="B13" s="101" t="inlineStr">
        <is>
          <t>Gurgaon</t>
        </is>
      </c>
      <c r="C13" s="101" t="inlineStr">
        <is>
          <t>North</t>
        </is>
      </c>
      <c r="D13" s="111" t="n">
        <v>6.609</v>
      </c>
      <c r="E13" s="115" t="n">
        <v>5</v>
      </c>
      <c r="F13" s="115" t="n">
        <v>30</v>
      </c>
      <c r="G13" s="115" t="n">
        <v>50</v>
      </c>
      <c r="H13" s="116" t="n">
        <v>0.98</v>
      </c>
      <c r="I13" s="116" t="n">
        <v>0.88</v>
      </c>
      <c r="J13" s="115" t="n">
        <v>20</v>
      </c>
      <c r="K13" s="116" t="n">
        <v>0.23</v>
      </c>
    </row>
    <row r="14">
      <c r="A14" s="56" t="inlineStr">
        <is>
          <t>Avenue Supermarts Ltd.-DC-1068</t>
        </is>
      </c>
      <c r="B14" s="101" t="inlineStr">
        <is>
          <t>Gurgaon</t>
        </is>
      </c>
      <c r="C14" s="101" t="inlineStr">
        <is>
          <t>North</t>
        </is>
      </c>
      <c r="D14" s="111" t="n">
        <v>5.917</v>
      </c>
      <c r="E14" s="115" t="n">
        <v>7</v>
      </c>
      <c r="F14" s="115" t="n">
        <v>30</v>
      </c>
      <c r="G14" s="115" t="n">
        <v>200</v>
      </c>
      <c r="H14" s="116" t="n">
        <v>0.92</v>
      </c>
      <c r="I14" s="116" t="n">
        <v>0.89</v>
      </c>
      <c r="J14" s="115" t="n">
        <v>60</v>
      </c>
      <c r="K14" s="116" t="n">
        <v>-0.12</v>
      </c>
    </row>
    <row r="15">
      <c r="A15" s="56" t="inlineStr">
        <is>
          <t>Az Enterprises(Apollo/More)Mt</t>
        </is>
      </c>
      <c r="B15" s="101" t="inlineStr">
        <is>
          <t>Bangalore</t>
        </is>
      </c>
      <c r="C15" s="101" t="inlineStr">
        <is>
          <t>South-1</t>
        </is>
      </c>
      <c r="D15" s="111" t="n">
        <v>5.536</v>
      </c>
      <c r="E15" s="115" t="n">
        <v>3</v>
      </c>
      <c r="F15" s="115" t="n">
        <v>30</v>
      </c>
      <c r="G15" s="115" t="n">
        <v>100</v>
      </c>
      <c r="H15" s="116" t="n">
        <v>0.96</v>
      </c>
      <c r="I15" s="116" t="n">
        <v>0.8100000000000001</v>
      </c>
      <c r="J15" s="115" t="n">
        <v>45</v>
      </c>
      <c r="K15" s="116" t="n">
        <v>0.17</v>
      </c>
    </row>
    <row r="16">
      <c r="A16" s="56" t="inlineStr">
        <is>
          <t>D.L. Sales - MT</t>
        </is>
      </c>
      <c r="B16" s="101" t="inlineStr">
        <is>
          <t>Kolkata</t>
        </is>
      </c>
      <c r="C16" s="101" t="inlineStr">
        <is>
          <t>East</t>
        </is>
      </c>
      <c r="D16" s="111" t="n">
        <v>5.191</v>
      </c>
      <c r="E16" s="115" t="n">
        <v>10</v>
      </c>
      <c r="F16" s="115" t="n">
        <v>30</v>
      </c>
      <c r="G16" s="115" t="n">
        <v>200</v>
      </c>
      <c r="H16" s="116" t="n">
        <v>0.92</v>
      </c>
      <c r="I16" s="116" t="n">
        <v>0.92</v>
      </c>
      <c r="J16" s="115" t="n">
        <v>20</v>
      </c>
      <c r="K16" s="116" t="n">
        <v>0.32</v>
      </c>
    </row>
    <row r="17">
      <c r="A17" s="56" t="inlineStr">
        <is>
          <t>Sancus Networks Private Limited-RMT</t>
        </is>
      </c>
      <c r="B17" s="101" t="inlineStr">
        <is>
          <t>Gurgaon</t>
        </is>
      </c>
      <c r="C17" s="101" t="inlineStr">
        <is>
          <t>North</t>
        </is>
      </c>
      <c r="D17" s="111" t="n">
        <v>5.053</v>
      </c>
      <c r="E17" s="115" t="n">
        <v>7</v>
      </c>
      <c r="F17" s="115" t="n">
        <v>21</v>
      </c>
      <c r="G17" s="115" t="n">
        <v>200</v>
      </c>
      <c r="H17" s="116" t="n">
        <v>0.89</v>
      </c>
      <c r="I17" s="116" t="n">
        <v>0.8100000000000001</v>
      </c>
      <c r="J17" s="115" t="n">
        <v>45</v>
      </c>
      <c r="K17" s="116" t="n">
        <v>-0.09</v>
      </c>
    </row>
    <row r="18">
      <c r="A18" s="56" t="inlineStr">
        <is>
          <t>Az Enterprises</t>
        </is>
      </c>
      <c r="B18" s="101" t="inlineStr">
        <is>
          <t>Bangalore</t>
        </is>
      </c>
      <c r="C18" s="101" t="inlineStr">
        <is>
          <t>South-1</t>
        </is>
      </c>
      <c r="D18" s="111" t="n">
        <v>4.457</v>
      </c>
      <c r="E18" s="115" t="n">
        <v>5</v>
      </c>
      <c r="F18" s="115" t="n">
        <v>30</v>
      </c>
      <c r="G18" s="115" t="n">
        <v>100</v>
      </c>
      <c r="H18" s="116" t="n">
        <v>0.98</v>
      </c>
      <c r="I18" s="116" t="n">
        <v>0.89</v>
      </c>
      <c r="J18" s="115" t="n">
        <v>30</v>
      </c>
      <c r="K18" s="116" t="n">
        <v>0.07000000000000001</v>
      </c>
    </row>
    <row r="19">
      <c r="A19" s="56" t="inlineStr">
        <is>
          <t>Vanaja Agencies_Mt</t>
        </is>
      </c>
      <c r="B19" s="101" t="inlineStr">
        <is>
          <t>Bangalore</t>
        </is>
      </c>
      <c r="C19" s="101" t="inlineStr">
        <is>
          <t>South-2</t>
        </is>
      </c>
      <c r="D19" s="111" t="n">
        <v>4.429</v>
      </c>
      <c r="E19" s="115" t="n">
        <v>7</v>
      </c>
      <c r="F19" s="115" t="n">
        <v>21</v>
      </c>
      <c r="G19" s="115" t="n">
        <v>100</v>
      </c>
      <c r="H19" s="116" t="n">
        <v>0.98</v>
      </c>
      <c r="I19" s="116" t="n">
        <v>0.85</v>
      </c>
      <c r="J19" s="115" t="n">
        <v>60</v>
      </c>
      <c r="K19" s="116" t="n">
        <v>0.34</v>
      </c>
    </row>
    <row r="20">
      <c r="A20" s="56" t="inlineStr">
        <is>
          <t>BALAJI ASSOCIATES Distributor MT</t>
        </is>
      </c>
      <c r="B20" s="101" t="inlineStr">
        <is>
          <t>Kolkata</t>
        </is>
      </c>
      <c r="C20" s="101" t="inlineStr">
        <is>
          <t>East</t>
        </is>
      </c>
      <c r="D20" s="111" t="n">
        <v>4.257</v>
      </c>
      <c r="E20" s="115" t="n">
        <v>10</v>
      </c>
      <c r="F20" s="115" t="n">
        <v>21</v>
      </c>
      <c r="G20" s="115" t="n">
        <v>50</v>
      </c>
      <c r="H20" s="116" t="n">
        <v>0.89</v>
      </c>
      <c r="I20" s="116" t="n">
        <v>0.83</v>
      </c>
      <c r="J20" s="115" t="n">
        <v>30</v>
      </c>
      <c r="K20" s="116" t="n">
        <v>-0.14</v>
      </c>
    </row>
    <row r="21">
      <c r="A21" s="56" t="inlineStr">
        <is>
          <t>Vanaja Agencies MT_Dmart</t>
        </is>
      </c>
      <c r="B21" s="101" t="inlineStr">
        <is>
          <t>Bangalore</t>
        </is>
      </c>
      <c r="C21" s="101" t="inlineStr">
        <is>
          <t>South-2</t>
        </is>
      </c>
      <c r="D21" s="111" t="n">
        <v>4.215</v>
      </c>
      <c r="E21" s="115" t="n">
        <v>5</v>
      </c>
      <c r="F21" s="115" t="n">
        <v>30</v>
      </c>
      <c r="G21" s="115" t="n">
        <v>100</v>
      </c>
      <c r="H21" s="116" t="n">
        <v>0.88</v>
      </c>
      <c r="I21" s="116" t="n">
        <v>0.88</v>
      </c>
      <c r="J21" s="115" t="n">
        <v>45</v>
      </c>
      <c r="K21" s="116" t="n">
        <v>0.15</v>
      </c>
    </row>
    <row r="22">
      <c r="A22" s="56" t="inlineStr">
        <is>
          <t>Avenue Supermarts Ltd.-DC-1054</t>
        </is>
      </c>
      <c r="B22" s="101" t="inlineStr">
        <is>
          <t>Bangalore</t>
        </is>
      </c>
      <c r="C22" s="101" t="inlineStr">
        <is>
          <t>South-2</t>
        </is>
      </c>
      <c r="D22" s="111" t="n">
        <v>4.151</v>
      </c>
      <c r="E22" s="115" t="n">
        <v>7</v>
      </c>
      <c r="F22" s="115" t="n">
        <v>21</v>
      </c>
      <c r="G22" s="115" t="n">
        <v>200</v>
      </c>
      <c r="H22" s="116" t="n">
        <v>0.97</v>
      </c>
      <c r="I22" s="116" t="n">
        <v>0.97</v>
      </c>
      <c r="J22" s="115" t="n">
        <v>20</v>
      </c>
      <c r="K22" s="116" t="n">
        <v>0.08</v>
      </c>
    </row>
    <row r="23">
      <c r="A23" s="56" t="inlineStr">
        <is>
          <t>M/S KOTTARAM BUSINESS CORPORATION-MT</t>
        </is>
      </c>
      <c r="B23" s="101" t="inlineStr">
        <is>
          <t>Bangalore</t>
        </is>
      </c>
      <c r="C23" s="101" t="inlineStr">
        <is>
          <t>South-1</t>
        </is>
      </c>
      <c r="D23" s="111" t="n">
        <v>4.039</v>
      </c>
      <c r="E23" s="115" t="n">
        <v>10</v>
      </c>
      <c r="F23" s="115" t="n">
        <v>30</v>
      </c>
      <c r="G23" s="115" t="n">
        <v>100</v>
      </c>
      <c r="H23" s="116" t="n">
        <v>0.92</v>
      </c>
      <c r="I23" s="116" t="n">
        <v>0.89</v>
      </c>
      <c r="J23" s="115" t="n">
        <v>60</v>
      </c>
      <c r="K23" s="116" t="n">
        <v>-0.12</v>
      </c>
    </row>
    <row r="24">
      <c r="A24" s="56" t="inlineStr">
        <is>
          <t>Apollo Healthco Limited-Hubbli</t>
        </is>
      </c>
      <c r="B24" s="101" t="inlineStr">
        <is>
          <t>Bangalore</t>
        </is>
      </c>
      <c r="C24" s="101" t="inlineStr">
        <is>
          <t>South-1</t>
        </is>
      </c>
      <c r="D24" s="111" t="n">
        <v>4.027</v>
      </c>
      <c r="E24" s="115" t="n">
        <v>3</v>
      </c>
      <c r="F24" s="115" t="n">
        <v>21</v>
      </c>
      <c r="G24" s="115" t="n">
        <v>100</v>
      </c>
      <c r="H24" s="116" t="n">
        <v>0.9</v>
      </c>
      <c r="I24" s="116" t="n">
        <v>0.86</v>
      </c>
      <c r="J24" s="115" t="n">
        <v>20</v>
      </c>
      <c r="K24" s="116" t="n">
        <v>-0.1</v>
      </c>
    </row>
    <row r="25">
      <c r="A25" s="56" t="inlineStr">
        <is>
          <t>Apollo Healthco Limited-Bangalore</t>
        </is>
      </c>
      <c r="B25" s="101" t="inlineStr">
        <is>
          <t>Bangalore</t>
        </is>
      </c>
      <c r="C25" s="101" t="inlineStr">
        <is>
          <t>South-1</t>
        </is>
      </c>
      <c r="D25" s="111" t="n">
        <v>3.987</v>
      </c>
      <c r="E25" s="115" t="n">
        <v>5</v>
      </c>
      <c r="F25" s="115" t="n">
        <v>45</v>
      </c>
      <c r="G25" s="115" t="n">
        <v>50</v>
      </c>
      <c r="H25" s="116" t="n">
        <v>0.98</v>
      </c>
      <c r="I25" s="116" t="n">
        <v>0.91</v>
      </c>
      <c r="J25" s="115" t="n">
        <v>20</v>
      </c>
      <c r="K25" s="116" t="n">
        <v>0.29</v>
      </c>
    </row>
    <row r="26">
      <c r="A26" s="56" t="inlineStr">
        <is>
          <t>Avenue Supermarts Ltd.-DC-1091</t>
        </is>
      </c>
      <c r="B26" s="101" t="inlineStr">
        <is>
          <t>Gurgaon</t>
        </is>
      </c>
      <c r="C26" s="101" t="inlineStr">
        <is>
          <t>North</t>
        </is>
      </c>
      <c r="D26" s="111" t="n">
        <v>3.818</v>
      </c>
      <c r="E26" s="115" t="n">
        <v>10</v>
      </c>
      <c r="F26" s="115" t="n">
        <v>21</v>
      </c>
      <c r="G26" s="115" t="n">
        <v>200</v>
      </c>
      <c r="H26" s="116" t="n">
        <v>0.91</v>
      </c>
      <c r="I26" s="116" t="n">
        <v>0.86</v>
      </c>
      <c r="J26" s="115" t="n">
        <v>45</v>
      </c>
      <c r="K26" s="116" t="n">
        <v>0.09</v>
      </c>
    </row>
    <row r="27">
      <c r="A27" s="56" t="inlineStr">
        <is>
          <t>VENKATESHWARA AGENCIES-TG</t>
        </is>
      </c>
      <c r="B27" s="101" t="inlineStr">
        <is>
          <t>Bangalore</t>
        </is>
      </c>
      <c r="C27" s="101" t="inlineStr">
        <is>
          <t>South-2</t>
        </is>
      </c>
      <c r="D27" s="111" t="n">
        <v>3.791</v>
      </c>
      <c r="E27" s="115" t="n">
        <v>3</v>
      </c>
      <c r="F27" s="115" t="n">
        <v>30</v>
      </c>
      <c r="G27" s="115" t="n">
        <v>100</v>
      </c>
      <c r="H27" s="116" t="n">
        <v>0.93</v>
      </c>
      <c r="I27" s="116" t="n">
        <v>0.86</v>
      </c>
      <c r="J27" s="115" t="n">
        <v>30</v>
      </c>
      <c r="K27" s="116" t="n">
        <v>-0.1</v>
      </c>
    </row>
    <row r="28">
      <c r="A28" s="56" t="inlineStr">
        <is>
          <t>APOLLO HEALTHCO LIMITED-WB-2</t>
        </is>
      </c>
      <c r="B28" s="101" t="inlineStr">
        <is>
          <t>Kolkata</t>
        </is>
      </c>
      <c r="C28" s="101" t="inlineStr">
        <is>
          <t>East</t>
        </is>
      </c>
      <c r="D28" s="111" t="n">
        <v>3.592</v>
      </c>
      <c r="E28" s="115" t="n">
        <v>7</v>
      </c>
      <c r="F28" s="115" t="n">
        <v>45</v>
      </c>
      <c r="G28" s="115" t="n">
        <v>100</v>
      </c>
      <c r="H28" s="116" t="n">
        <v>0.93</v>
      </c>
      <c r="I28" s="116" t="n">
        <v>0.92</v>
      </c>
      <c r="J28" s="115" t="n">
        <v>20</v>
      </c>
      <c r="K28" s="116" t="n">
        <v>-0.05</v>
      </c>
    </row>
    <row r="29">
      <c r="A29" s="56" t="inlineStr">
        <is>
          <t>Reliance Retail Limited_Fr87</t>
        </is>
      </c>
      <c r="B29" s="101" t="inlineStr">
        <is>
          <t>Gurgaon</t>
        </is>
      </c>
      <c r="C29" s="101" t="inlineStr">
        <is>
          <t>North</t>
        </is>
      </c>
      <c r="D29" s="111" t="n">
        <v>3.479</v>
      </c>
      <c r="E29" s="115" t="n">
        <v>7</v>
      </c>
      <c r="F29" s="115" t="n">
        <v>21</v>
      </c>
      <c r="G29" s="115" t="n">
        <v>200</v>
      </c>
      <c r="H29" s="116" t="n">
        <v>0.9399999999999999</v>
      </c>
      <c r="I29" s="116" t="n">
        <v>0.8</v>
      </c>
      <c r="J29" s="115" t="n">
        <v>45</v>
      </c>
      <c r="K29" s="116" t="n">
        <v>0.34</v>
      </c>
    </row>
    <row r="30">
      <c r="A30" s="56" t="inlineStr">
        <is>
          <t>Reliance Retail Limited_SL6S</t>
        </is>
      </c>
      <c r="B30" s="101" t="inlineStr">
        <is>
          <t>Gurgaon</t>
        </is>
      </c>
      <c r="C30" s="101" t="inlineStr">
        <is>
          <t>North</t>
        </is>
      </c>
      <c r="D30" s="111" t="n">
        <v>3.425</v>
      </c>
      <c r="E30" s="115" t="n">
        <v>3</v>
      </c>
      <c r="F30" s="115" t="n">
        <v>45</v>
      </c>
      <c r="G30" s="115" t="n">
        <v>100</v>
      </c>
      <c r="H30" s="116" t="n">
        <v>0.9399999999999999</v>
      </c>
      <c r="I30" s="116" t="n">
        <v>0.96</v>
      </c>
      <c r="J30" s="115" t="n">
        <v>45</v>
      </c>
      <c r="K30" s="116" t="n">
        <v>0.24</v>
      </c>
    </row>
    <row r="31">
      <c r="A31" s="56" t="inlineStr">
        <is>
          <t>Reliance Retail Limited Ce08</t>
        </is>
      </c>
      <c r="B31" s="101" t="inlineStr">
        <is>
          <t>Kolkata</t>
        </is>
      </c>
      <c r="C31" s="101" t="inlineStr">
        <is>
          <t>East</t>
        </is>
      </c>
      <c r="D31" s="111" t="n">
        <v>3.419</v>
      </c>
      <c r="E31" s="115" t="n">
        <v>7</v>
      </c>
      <c r="F31" s="115" t="n">
        <v>45</v>
      </c>
      <c r="G31" s="115" t="n">
        <v>50</v>
      </c>
      <c r="H31" s="116" t="n">
        <v>0.95</v>
      </c>
      <c r="I31" s="116" t="n">
        <v>0.9399999999999999</v>
      </c>
      <c r="J31" s="115" t="n">
        <v>30</v>
      </c>
      <c r="K31" s="116" t="n">
        <v>0.25</v>
      </c>
    </row>
    <row r="32">
      <c r="A32" s="56" t="inlineStr">
        <is>
          <t>Kiran Trading Co_Shipto (Solapur)</t>
        </is>
      </c>
      <c r="B32" s="101" t="inlineStr">
        <is>
          <t>Mumbai</t>
        </is>
      </c>
      <c r="C32" s="101" t="inlineStr">
        <is>
          <t>West</t>
        </is>
      </c>
      <c r="D32" s="111" t="n">
        <v>3.326</v>
      </c>
      <c r="E32" s="115" t="n">
        <v>10</v>
      </c>
      <c r="F32" s="115" t="n">
        <v>45</v>
      </c>
      <c r="G32" s="115" t="n">
        <v>50</v>
      </c>
      <c r="H32" s="116" t="n">
        <v>0.9</v>
      </c>
      <c r="I32" s="116" t="n">
        <v>0.89</v>
      </c>
      <c r="J32" s="115" t="n">
        <v>20</v>
      </c>
      <c r="K32" s="116" t="n">
        <v>0.34</v>
      </c>
    </row>
    <row r="33">
      <c r="A33" s="56" t="inlineStr">
        <is>
          <t>RELIANCE RETAIL LIMITED-SF92</t>
        </is>
      </c>
      <c r="B33" s="101" t="inlineStr">
        <is>
          <t>Kolkata</t>
        </is>
      </c>
      <c r="C33" s="101" t="inlineStr">
        <is>
          <t>East</t>
        </is>
      </c>
      <c r="D33" s="111" t="n">
        <v>3.107</v>
      </c>
      <c r="E33" s="115" t="n">
        <v>7</v>
      </c>
      <c r="F33" s="115" t="n">
        <v>30</v>
      </c>
      <c r="G33" s="115" t="n">
        <v>100</v>
      </c>
      <c r="H33" s="116" t="n">
        <v>0.9</v>
      </c>
      <c r="I33" s="116" t="n">
        <v>0.91</v>
      </c>
      <c r="J33" s="115" t="n">
        <v>45</v>
      </c>
      <c r="K33" s="116" t="n">
        <v>0.07000000000000001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12" customWidth="1" min="4" max="4"/>
    <col width="16" customWidth="1" min="5" max="5"/>
    <col width="18" customWidth="1" min="6" max="6"/>
    <col width="12" customWidth="1" min="7" max="7"/>
    <col width="14" customWidth="1" min="8" max="8"/>
    <col width="15" customWidth="1" min="9" max="9"/>
  </cols>
  <sheetData>
    <row r="1" ht="26" customHeight="1">
      <c r="A1" s="1" t="inlineStr">
        <is>
          <t>NPI &amp; EPD PLANNING  ·  new-product / extra-pack loading</t>
        </is>
      </c>
    </row>
    <row r="2">
      <c r="A2" s="12" t="inlineStr">
        <is>
          <t>Planner-maintained new launches. 'Planned Value (₹ Cr)' by launch month feeds the engine additively (Final = ensemble + NPI load). Example rows shown — edit freely.</t>
        </is>
      </c>
    </row>
    <row r="3" ht="28" customHeight="1">
      <c r="A3" s="5" t="inlineStr">
        <is>
          <t>Brand</t>
        </is>
      </c>
      <c r="B3" s="5" t="inlineStr">
        <is>
          <t>Category</t>
        </is>
      </c>
      <c r="C3" s="5" t="inlineStr">
        <is>
          <t>Article / SKU</t>
        </is>
      </c>
      <c r="D3" s="5" t="inlineStr">
        <is>
          <t>Launch Month</t>
        </is>
      </c>
      <c r="E3" s="5" t="inlineStr">
        <is>
          <t>Initial Loading (units)</t>
        </is>
      </c>
      <c r="F3" s="5" t="inlineStr">
        <is>
          <t>Expected Distribution (stores)</t>
        </is>
      </c>
      <c r="G3" s="5" t="inlineStr">
        <is>
          <t>Ramp-up Curve</t>
        </is>
      </c>
      <c r="H3" s="5" t="inlineStr">
        <is>
          <t>Growth Assumption %</t>
        </is>
      </c>
      <c r="I3" s="5" t="inlineStr">
        <is>
          <t>Planned Value (₹ Cr)</t>
        </is>
      </c>
    </row>
    <row r="4">
      <c r="A4" s="56" t="inlineStr">
        <is>
          <t>Mamaearth</t>
        </is>
      </c>
      <c r="B4" s="56" t="inlineStr">
        <is>
          <t>Face</t>
        </is>
      </c>
      <c r="C4" s="117" t="inlineStr">
        <is>
          <t>Rice Serum 30ml (new)</t>
        </is>
      </c>
      <c r="D4" s="115" t="inlineStr">
        <is>
          <t>Jul'26</t>
        </is>
      </c>
      <c r="E4" s="115" t="n">
        <v>40000</v>
      </c>
      <c r="F4" s="115" t="n">
        <v>1200</v>
      </c>
      <c r="G4" s="115" t="inlineStr">
        <is>
          <t>Fast</t>
        </is>
      </c>
      <c r="H4" s="116" t="n">
        <v>0.1</v>
      </c>
      <c r="I4" s="118" t="n">
        <v>1.2</v>
      </c>
    </row>
    <row r="5">
      <c r="A5" s="56" t="inlineStr">
        <is>
          <t>The Derma Co.</t>
        </is>
      </c>
      <c r="B5" s="56" t="inlineStr">
        <is>
          <t>Sun Care</t>
        </is>
      </c>
      <c r="C5" s="117" t="inlineStr">
        <is>
          <t>SPF60 Gel 100g (new)</t>
        </is>
      </c>
      <c r="D5" s="115" t="inlineStr">
        <is>
          <t>Jun'26</t>
        </is>
      </c>
      <c r="E5" s="115" t="n">
        <v>30000</v>
      </c>
      <c r="F5" s="115" t="n">
        <v>900</v>
      </c>
      <c r="G5" s="115" t="inlineStr">
        <is>
          <t>Medium</t>
        </is>
      </c>
      <c r="H5" s="116" t="n">
        <v>0.08</v>
      </c>
      <c r="I5" s="118" t="n">
        <v>0.9</v>
      </c>
    </row>
    <row r="6">
      <c r="A6" s="56" t="inlineStr">
        <is>
          <t>Aqualogica</t>
        </is>
      </c>
      <c r="B6" s="56" t="inlineStr">
        <is>
          <t>Face</t>
        </is>
      </c>
      <c r="C6" s="117" t="inlineStr">
        <is>
          <t>Radiance Toner (new)</t>
        </is>
      </c>
      <c r="D6" s="115" t="inlineStr">
        <is>
          <t>Aug'26</t>
        </is>
      </c>
      <c r="E6" s="115" t="n">
        <v>25000</v>
      </c>
      <c r="F6" s="115" t="n">
        <v>700</v>
      </c>
      <c r="G6" s="115" t="inlineStr">
        <is>
          <t>Medium</t>
        </is>
      </c>
      <c r="H6" s="116" t="n">
        <v>0.12</v>
      </c>
      <c r="I6" s="118" t="n">
        <v>0.6</v>
      </c>
    </row>
    <row r="7">
      <c r="A7" s="60" t="n"/>
      <c r="B7" s="60" t="n"/>
      <c r="C7" s="60" t="n"/>
      <c r="D7" s="60" t="n"/>
      <c r="E7" s="60" t="n"/>
      <c r="F7" s="60" t="n"/>
      <c r="G7" s="60" t="n"/>
      <c r="H7" s="60" t="n"/>
      <c r="I7" s="60" t="n"/>
    </row>
    <row r="8">
      <c r="A8" s="60" t="n"/>
      <c r="B8" s="60" t="n"/>
      <c r="C8" s="60" t="n"/>
      <c r="D8" s="60" t="n"/>
      <c r="E8" s="60" t="n"/>
      <c r="F8" s="60" t="n"/>
      <c r="G8" s="60" t="n"/>
      <c r="H8" s="60" t="n"/>
      <c r="I8" s="60" t="n"/>
    </row>
    <row r="9">
      <c r="A9" s="60" t="n"/>
      <c r="B9" s="60" t="n"/>
      <c r="C9" s="60" t="n"/>
      <c r="D9" s="60" t="n"/>
      <c r="E9" s="60" t="n"/>
      <c r="F9" s="60" t="n"/>
      <c r="G9" s="60" t="n"/>
      <c r="H9" s="60" t="n"/>
      <c r="I9" s="60" t="n"/>
    </row>
    <row r="10">
      <c r="A10" s="60" t="n"/>
      <c r="B10" s="60" t="n"/>
      <c r="C10" s="60" t="n"/>
      <c r="D10" s="60" t="n"/>
      <c r="E10" s="60" t="n"/>
      <c r="F10" s="60" t="n"/>
      <c r="G10" s="60" t="n"/>
      <c r="H10" s="60" t="n"/>
      <c r="I10" s="60" t="n"/>
    </row>
  </sheetData>
  <mergeCells count="2">
    <mergeCell ref="A1:I1"/>
    <mergeCell ref="A2:I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20" customWidth="1" min="4" max="4"/>
    <col width="16" customWidth="1" min="5" max="5"/>
    <col width="9" customWidth="1" min="6" max="6"/>
    <col width="13" customWidth="1" min="7" max="7"/>
    <col width="22" customWidth="1" min="8" max="8"/>
  </cols>
  <sheetData>
    <row r="1" ht="26" customHeight="1">
      <c r="A1" s="1" t="inlineStr">
        <is>
          <t>PROMOTION CALENDAR  ·  planned trade &amp; consumer activity</t>
        </is>
      </c>
    </row>
    <row r="2">
      <c r="A2" s="12" t="inlineStr">
        <is>
          <t>Planned promos by Brand × Category × Month. 'Planned Uplift %' feeds the Business &amp; AI forecast for that month. Example rows shown — edit freely.</t>
        </is>
      </c>
    </row>
    <row r="3" ht="28" customHeight="1">
      <c r="A3" s="5" t="inlineStr">
        <is>
          <t>Brand</t>
        </is>
      </c>
      <c r="B3" s="5" t="inlineStr">
        <is>
          <t>Category</t>
        </is>
      </c>
      <c r="C3" s="5" t="inlineStr">
        <is>
          <t>Month</t>
        </is>
      </c>
      <c r="D3" s="5" t="inlineStr">
        <is>
          <t>Promo Type</t>
        </is>
      </c>
      <c r="E3" s="5" t="inlineStr">
        <is>
          <t>Chain (opt.)</t>
        </is>
      </c>
      <c r="F3" s="5" t="inlineStr">
        <is>
          <t>Depth %</t>
        </is>
      </c>
      <c r="G3" s="5" t="inlineStr">
        <is>
          <t>Planned Uplift %</t>
        </is>
      </c>
      <c r="H3" s="5" t="inlineStr">
        <is>
          <t>Notes</t>
        </is>
      </c>
    </row>
    <row r="4">
      <c r="A4" s="56" t="inlineStr">
        <is>
          <t>Mamaearth</t>
        </is>
      </c>
      <c r="B4" s="56" t="inlineStr">
        <is>
          <t>Sun Care</t>
        </is>
      </c>
      <c r="C4" s="115" t="inlineStr">
        <is>
          <t>Jun'26</t>
        </is>
      </c>
      <c r="D4" s="117" t="inlineStr">
        <is>
          <t>Endcap + Price Off</t>
        </is>
      </c>
      <c r="E4" s="117" t="inlineStr">
        <is>
          <t>D-Mart</t>
        </is>
      </c>
      <c r="F4" s="116" t="n">
        <v>0.15</v>
      </c>
      <c r="G4" s="116" t="n">
        <v>0.2</v>
      </c>
      <c r="H4" s="117" t="inlineStr">
        <is>
          <t>Summer sun push</t>
        </is>
      </c>
    </row>
    <row r="5">
      <c r="A5" s="56" t="inlineStr">
        <is>
          <t>Mamaearth</t>
        </is>
      </c>
      <c r="B5" s="56" t="inlineStr">
        <is>
          <t>Face</t>
        </is>
      </c>
      <c r="C5" s="115" t="inlineStr">
        <is>
          <t>Jul'26</t>
        </is>
      </c>
      <c r="D5" s="117" t="inlineStr">
        <is>
          <t>BOGO</t>
        </is>
      </c>
      <c r="E5" s="117" t="inlineStr">
        <is>
          <t>Reliance Retail</t>
        </is>
      </c>
      <c r="F5" s="116" t="n">
        <v>0.2</v>
      </c>
      <c r="G5" s="116" t="n">
        <v>0.15</v>
      </c>
      <c r="H5" s="117" t="inlineStr">
        <is>
          <t>Monsoon face care</t>
        </is>
      </c>
    </row>
    <row r="6">
      <c r="A6" s="56" t="inlineStr">
        <is>
          <t>The Derma Co.</t>
        </is>
      </c>
      <c r="B6" s="56" t="inlineStr">
        <is>
          <t>Face</t>
        </is>
      </c>
      <c r="C6" s="115" t="inlineStr">
        <is>
          <t>Jun'26</t>
        </is>
      </c>
      <c r="D6" s="117" t="inlineStr">
        <is>
          <t>Gondola + Visibility</t>
        </is>
      </c>
      <c r="E6" s="117" t="inlineStr">
        <is>
          <t>Health &amp; Glow</t>
        </is>
      </c>
      <c r="F6" s="116" t="n">
        <v>0.1</v>
      </c>
      <c r="G6" s="116" t="n">
        <v>0.12</v>
      </c>
      <c r="H6" s="117" t="inlineStr">
        <is>
          <t>Derma focus</t>
        </is>
      </c>
    </row>
    <row r="7">
      <c r="A7" s="56" t="inlineStr">
        <is>
          <t>Aqualogica</t>
        </is>
      </c>
      <c r="B7" s="56" t="inlineStr">
        <is>
          <t>Face</t>
        </is>
      </c>
      <c r="C7" s="115" t="inlineStr">
        <is>
          <t>Aug'26</t>
        </is>
      </c>
      <c r="D7" s="117" t="inlineStr">
        <is>
          <t>Digital Campaign + SIS</t>
        </is>
      </c>
      <c r="E7" s="117" t="inlineStr">
        <is>
          <t>Nykaa</t>
        </is>
      </c>
      <c r="F7" s="116" t="n">
        <v>0.1</v>
      </c>
      <c r="G7" s="116" t="n">
        <v>0.18</v>
      </c>
      <c r="H7" s="117" t="inlineStr">
        <is>
          <t>Gen-Z push</t>
        </is>
      </c>
    </row>
    <row r="8">
      <c r="A8" s="56" t="inlineStr">
        <is>
          <t>Mamaearth</t>
        </is>
      </c>
      <c r="B8" s="56" t="inlineStr">
        <is>
          <t>Baby</t>
        </is>
      </c>
      <c r="C8" s="115" t="inlineStr">
        <is>
          <t>Jul'26</t>
        </is>
      </c>
      <c r="D8" s="117" t="inlineStr">
        <is>
          <t>Retail Festival</t>
        </is>
      </c>
      <c r="E8" s="117" t="inlineStr">
        <is>
          <t>ALL</t>
        </is>
      </c>
      <c r="F8" s="116" t="n">
        <v>0.12</v>
      </c>
      <c r="G8" s="116" t="n">
        <v>0.1</v>
      </c>
      <c r="H8" s="117" t="inlineStr">
        <is>
          <t>Baby fest</t>
        </is>
      </c>
    </row>
    <row r="9">
      <c r="A9" s="60" t="n"/>
      <c r="B9" s="60" t="n"/>
      <c r="C9" s="60" t="n"/>
      <c r="D9" s="60" t="n"/>
      <c r="E9" s="60" t="n"/>
      <c r="F9" s="60" t="n"/>
      <c r="G9" s="60" t="n"/>
      <c r="H9" s="60" t="n"/>
    </row>
    <row r="10">
      <c r="A10" s="60" t="n"/>
      <c r="B10" s="60" t="n"/>
      <c r="C10" s="60" t="n"/>
      <c r="D10" s="60" t="n"/>
      <c r="E10" s="60" t="n"/>
      <c r="F10" s="60" t="n"/>
      <c r="G10" s="60" t="n"/>
      <c r="H10" s="60" t="n"/>
    </row>
    <row r="11">
      <c r="A11" s="60" t="n"/>
      <c r="B11" s="60" t="n"/>
      <c r="C11" s="60" t="n"/>
      <c r="D11" s="60" t="n"/>
      <c r="E11" s="60" t="n"/>
      <c r="F11" s="60" t="n"/>
      <c r="G11" s="60" t="n"/>
      <c r="H11" s="60" t="n"/>
    </row>
    <row r="12">
      <c r="A12" s="60" t="n"/>
      <c r="B12" s="60" t="n"/>
      <c r="C12" s="60" t="n"/>
      <c r="D12" s="60" t="n"/>
      <c r="E12" s="60" t="n"/>
      <c r="F12" s="60" t="n"/>
      <c r="G12" s="60" t="n"/>
      <c r="H12" s="60" t="n"/>
    </row>
  </sheetData>
  <mergeCells count="2">
    <mergeCell ref="A2:H2"/>
    <mergeCell ref="A1:H1"/>
  </mergeCells>
  <dataValidations count="1">
    <dataValidation sqref="D4:D12" showDropDown="0" showInputMessage="0" showErrorMessage="0" allowBlank="1" type="list">
      <formula1>"BOGO,Price Off,Endcap,Gondola,Visibility,SIS,Digital Campaign,Retail Festival,Mega Event"</formula1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6.5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7" customWidth="1" min="14" max="14"/>
  </cols>
  <sheetData>
    <row r="1" ht="26" customHeight="1">
      <c r="A1" s="1" t="inlineStr">
        <is>
          <t>SEASONALITY MATRIX  ·  monthly uplift index by category (editable)</t>
        </is>
      </c>
    </row>
    <row r="2">
      <c r="A2" s="12" t="inlineStr">
        <is>
          <t>Blue cells are editable seasonal factors (100% = no seasonal effect). The engine reindexes each category's flat run-rate to this shape.</t>
        </is>
      </c>
    </row>
    <row r="3" ht="28" customHeight="1">
      <c r="A3" s="5" t="inlineStr">
        <is>
          <t>Category</t>
        </is>
      </c>
      <c r="B3" s="5" t="inlineStr">
        <is>
          <t>Apr</t>
        </is>
      </c>
      <c r="C3" s="5" t="inlineStr">
        <is>
          <t>May</t>
        </is>
      </c>
      <c r="D3" s="5" t="inlineStr">
        <is>
          <t>Jun</t>
        </is>
      </c>
      <c r="E3" s="5" t="inlineStr">
        <is>
          <t>Jul</t>
        </is>
      </c>
      <c r="F3" s="5" t="inlineStr">
        <is>
          <t>Aug</t>
        </is>
      </c>
      <c r="G3" s="5" t="inlineStr">
        <is>
          <t>Sep</t>
        </is>
      </c>
      <c r="H3" s="5" t="inlineStr">
        <is>
          <t>Oct</t>
        </is>
      </c>
      <c r="I3" s="5" t="inlineStr">
        <is>
          <t>Nov</t>
        </is>
      </c>
      <c r="J3" s="5" t="inlineStr">
        <is>
          <t>Dec</t>
        </is>
      </c>
      <c r="K3" s="5" t="inlineStr">
        <is>
          <t>Jan</t>
        </is>
      </c>
      <c r="L3" s="5" t="inlineStr">
        <is>
          <t>Feb</t>
        </is>
      </c>
      <c r="M3" s="5" t="inlineStr">
        <is>
          <t>Mar</t>
        </is>
      </c>
      <c r="N3" s="5" t="inlineStr">
        <is>
          <t>Avg</t>
        </is>
      </c>
    </row>
    <row r="4">
      <c r="A4" s="55" t="inlineStr">
        <is>
          <t>Face</t>
        </is>
      </c>
      <c r="B4" s="97" t="n">
        <v>1</v>
      </c>
      <c r="C4" s="97" t="n">
        <v>1</v>
      </c>
      <c r="D4" s="97" t="n">
        <v>1</v>
      </c>
      <c r="E4" s="97" t="n">
        <v>1.05</v>
      </c>
      <c r="F4" s="97" t="n">
        <v>1.05</v>
      </c>
      <c r="G4" s="97" t="n">
        <v>1.1</v>
      </c>
      <c r="H4" s="97" t="n">
        <v>1.15</v>
      </c>
      <c r="I4" s="97" t="n">
        <v>1.2</v>
      </c>
      <c r="J4" s="97" t="n">
        <v>1.1</v>
      </c>
      <c r="K4" s="97" t="n">
        <v>1.1</v>
      </c>
      <c r="L4" s="97" t="n">
        <v>1.05</v>
      </c>
      <c r="M4" s="97" t="n">
        <v>1</v>
      </c>
      <c r="N4" s="119">
        <f>AVERAGE(B4:M4)</f>
        <v/>
      </c>
    </row>
    <row r="5">
      <c r="A5" s="55" t="inlineStr">
        <is>
          <t>Hair</t>
        </is>
      </c>
      <c r="B5" s="97" t="n">
        <v>0.95</v>
      </c>
      <c r="C5" s="97" t="n">
        <v>0.95</v>
      </c>
      <c r="D5" s="97" t="n">
        <v>1</v>
      </c>
      <c r="E5" s="97" t="n">
        <v>1.05</v>
      </c>
      <c r="F5" s="97" t="n">
        <v>1.1</v>
      </c>
      <c r="G5" s="97" t="n">
        <v>1.1</v>
      </c>
      <c r="H5" s="97" t="n">
        <v>1.05</v>
      </c>
      <c r="I5" s="97" t="n">
        <v>1.05</v>
      </c>
      <c r="J5" s="97" t="n">
        <v>1</v>
      </c>
      <c r="K5" s="97" t="n">
        <v>1</v>
      </c>
      <c r="L5" s="97" t="n">
        <v>0.95</v>
      </c>
      <c r="M5" s="97" t="n">
        <v>0.95</v>
      </c>
      <c r="N5" s="119">
        <f>AVERAGE(B5:M5)</f>
        <v/>
      </c>
    </row>
    <row r="6">
      <c r="A6" s="55" t="inlineStr">
        <is>
          <t>Body</t>
        </is>
      </c>
      <c r="B6" s="97" t="n">
        <v>0.75</v>
      </c>
      <c r="C6" s="97" t="n">
        <v>0.7</v>
      </c>
      <c r="D6" s="97" t="n">
        <v>0.7</v>
      </c>
      <c r="E6" s="97" t="n">
        <v>0.75</v>
      </c>
      <c r="F6" s="97" t="n">
        <v>0.85</v>
      </c>
      <c r="G6" s="97" t="n">
        <v>0.95</v>
      </c>
      <c r="H6" s="97" t="n">
        <v>1.1</v>
      </c>
      <c r="I6" s="97" t="n">
        <v>1.25</v>
      </c>
      <c r="J6" s="97" t="n">
        <v>1.45</v>
      </c>
      <c r="K6" s="97" t="n">
        <v>1.5</v>
      </c>
      <c r="L6" s="97" t="n">
        <v>1.4</v>
      </c>
      <c r="M6" s="97" t="n">
        <v>1.2</v>
      </c>
      <c r="N6" s="119">
        <f>AVERAGE(B6:M6)</f>
        <v/>
      </c>
    </row>
    <row r="7">
      <c r="A7" s="55" t="inlineStr">
        <is>
          <t>Baby</t>
        </is>
      </c>
      <c r="B7" s="97" t="n">
        <v>1</v>
      </c>
      <c r="C7" s="97" t="n">
        <v>1</v>
      </c>
      <c r="D7" s="97" t="n">
        <v>1</v>
      </c>
      <c r="E7" s="97" t="n">
        <v>1</v>
      </c>
      <c r="F7" s="97" t="n">
        <v>1</v>
      </c>
      <c r="G7" s="97" t="n">
        <v>1.05</v>
      </c>
      <c r="H7" s="97" t="n">
        <v>1.05</v>
      </c>
      <c r="I7" s="97" t="n">
        <v>1.1</v>
      </c>
      <c r="J7" s="97" t="n">
        <v>1.1</v>
      </c>
      <c r="K7" s="97" t="n">
        <v>1.05</v>
      </c>
      <c r="L7" s="97" t="n">
        <v>1</v>
      </c>
      <c r="M7" s="97" t="n">
        <v>1</v>
      </c>
      <c r="N7" s="119">
        <f>AVERAGE(B7:M7)</f>
        <v/>
      </c>
    </row>
    <row r="8">
      <c r="A8" s="55" t="inlineStr">
        <is>
          <t>Hair Care</t>
        </is>
      </c>
      <c r="B8" s="97" t="n">
        <v>0.95</v>
      </c>
      <c r="C8" s="97" t="n">
        <v>0.95</v>
      </c>
      <c r="D8" s="97" t="n">
        <v>1</v>
      </c>
      <c r="E8" s="97" t="n">
        <v>1.05</v>
      </c>
      <c r="F8" s="97" t="n">
        <v>1.1</v>
      </c>
      <c r="G8" s="97" t="n">
        <v>1.1</v>
      </c>
      <c r="H8" s="97" t="n">
        <v>1.05</v>
      </c>
      <c r="I8" s="97" t="n">
        <v>1.05</v>
      </c>
      <c r="J8" s="97" t="n">
        <v>1</v>
      </c>
      <c r="K8" s="97" t="n">
        <v>1</v>
      </c>
      <c r="L8" s="97" t="n">
        <v>0.95</v>
      </c>
      <c r="M8" s="97" t="n">
        <v>0.95</v>
      </c>
      <c r="N8" s="119">
        <f>AVERAGE(B8:M8)</f>
        <v/>
      </c>
    </row>
    <row r="9">
      <c r="A9" s="55" t="inlineStr">
        <is>
          <t>Fragrances</t>
        </is>
      </c>
      <c r="B9" s="97" t="n">
        <v>1</v>
      </c>
      <c r="C9" s="97" t="n">
        <v>1</v>
      </c>
      <c r="D9" s="97" t="n">
        <v>1</v>
      </c>
      <c r="E9" s="97" t="n">
        <v>1</v>
      </c>
      <c r="F9" s="97" t="n">
        <v>1</v>
      </c>
      <c r="G9" s="97" t="n">
        <v>1</v>
      </c>
      <c r="H9" s="97" t="n">
        <v>1</v>
      </c>
      <c r="I9" s="97" t="n">
        <v>1</v>
      </c>
      <c r="J9" s="97" t="n">
        <v>1</v>
      </c>
      <c r="K9" s="97" t="n">
        <v>1</v>
      </c>
      <c r="L9" s="97" t="n">
        <v>1</v>
      </c>
      <c r="M9" s="97" t="n">
        <v>1</v>
      </c>
      <c r="N9" s="119">
        <f>AVERAGE(B9:M9)</f>
        <v/>
      </c>
    </row>
    <row r="10">
      <c r="A10" s="55" t="inlineStr">
        <is>
          <t>Styling Products</t>
        </is>
      </c>
      <c r="B10" s="97" t="n">
        <v>1</v>
      </c>
      <c r="C10" s="97" t="n">
        <v>1</v>
      </c>
      <c r="D10" s="97" t="n">
        <v>1</v>
      </c>
      <c r="E10" s="97" t="n">
        <v>1</v>
      </c>
      <c r="F10" s="97" t="n">
        <v>1</v>
      </c>
      <c r="G10" s="97" t="n">
        <v>1</v>
      </c>
      <c r="H10" s="97" t="n">
        <v>1</v>
      </c>
      <c r="I10" s="97" t="n">
        <v>1</v>
      </c>
      <c r="J10" s="97" t="n">
        <v>1</v>
      </c>
      <c r="K10" s="97" t="n">
        <v>1</v>
      </c>
      <c r="L10" s="97" t="n">
        <v>1</v>
      </c>
      <c r="M10" s="97" t="n">
        <v>1</v>
      </c>
      <c r="N10" s="119">
        <f>AVERAGE(B10:M10)</f>
        <v/>
      </c>
    </row>
    <row r="11">
      <c r="A11" s="120" t="inlineStr">
        <is>
          <t>Default</t>
        </is>
      </c>
      <c r="B11" s="97" t="n">
        <v>1</v>
      </c>
      <c r="C11" s="97" t="n">
        <v>1</v>
      </c>
      <c r="D11" s="97" t="n">
        <v>1</v>
      </c>
      <c r="E11" s="97" t="n">
        <v>1</v>
      </c>
      <c r="F11" s="97" t="n">
        <v>1</v>
      </c>
      <c r="G11" s="97" t="n">
        <v>1</v>
      </c>
      <c r="H11" s="97" t="n">
        <v>1</v>
      </c>
      <c r="I11" s="97" t="n">
        <v>1</v>
      </c>
      <c r="J11" s="97" t="n">
        <v>1</v>
      </c>
      <c r="K11" s="97" t="n">
        <v>1</v>
      </c>
      <c r="L11" s="97" t="n">
        <v>1</v>
      </c>
      <c r="M11" s="97" t="n">
        <v>1</v>
      </c>
      <c r="N11" s="121">
        <f>AVERAGE(B11:M11)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0" customWidth="1" min="4" max="4"/>
  </cols>
  <sheetData>
    <row r="1" ht="26" customHeight="1">
      <c r="A1" s="1" t="inlineStr">
        <is>
          <t>CALENDAR  ·  financial-year month index (Apr–Mar)</t>
        </is>
      </c>
    </row>
    <row r="2" ht="28" customHeight="1">
      <c r="A2" s="5" t="inlineStr">
        <is>
          <t>Idx</t>
        </is>
      </c>
      <c r="B2" s="5" t="inlineStr">
        <is>
          <t>Month</t>
        </is>
      </c>
      <c r="C2" s="5" t="inlineStr">
        <is>
          <t>Month Name</t>
        </is>
      </c>
      <c r="D2" s="5" t="inlineStr">
        <is>
          <t>Cal Year</t>
        </is>
      </c>
    </row>
    <row r="3">
      <c r="A3" s="101" t="n">
        <v>1</v>
      </c>
      <c r="B3" s="101" t="inlineStr">
        <is>
          <t>Apr'25</t>
        </is>
      </c>
      <c r="C3" s="101" t="inlineStr">
        <is>
          <t>Apr</t>
        </is>
      </c>
      <c r="D3" s="101" t="n">
        <v>2025</v>
      </c>
    </row>
    <row r="4">
      <c r="A4" s="101" t="n">
        <v>2</v>
      </c>
      <c r="B4" s="101" t="inlineStr">
        <is>
          <t>May'25</t>
        </is>
      </c>
      <c r="C4" s="101" t="inlineStr">
        <is>
          <t>May</t>
        </is>
      </c>
      <c r="D4" s="101" t="n">
        <v>2025</v>
      </c>
    </row>
    <row r="5">
      <c r="A5" s="101" t="n">
        <v>3</v>
      </c>
      <c r="B5" s="101" t="inlineStr">
        <is>
          <t>Jun'25</t>
        </is>
      </c>
      <c r="C5" s="101" t="inlineStr">
        <is>
          <t>Jun</t>
        </is>
      </c>
      <c r="D5" s="101" t="n">
        <v>2025</v>
      </c>
    </row>
    <row r="6">
      <c r="A6" s="101" t="n">
        <v>4</v>
      </c>
      <c r="B6" s="101" t="inlineStr">
        <is>
          <t>Jul'25</t>
        </is>
      </c>
      <c r="C6" s="101" t="inlineStr">
        <is>
          <t>Jul</t>
        </is>
      </c>
      <c r="D6" s="101" t="n">
        <v>2025</v>
      </c>
    </row>
    <row r="7">
      <c r="A7" s="101" t="n">
        <v>5</v>
      </c>
      <c r="B7" s="101" t="inlineStr">
        <is>
          <t>Aug'25</t>
        </is>
      </c>
      <c r="C7" s="101" t="inlineStr">
        <is>
          <t>Aug</t>
        </is>
      </c>
      <c r="D7" s="101" t="n">
        <v>2025</v>
      </c>
    </row>
    <row r="8">
      <c r="A8" s="101" t="n">
        <v>6</v>
      </c>
      <c r="B8" s="101" t="inlineStr">
        <is>
          <t>Sep'25</t>
        </is>
      </c>
      <c r="C8" s="101" t="inlineStr">
        <is>
          <t>Sep</t>
        </is>
      </c>
      <c r="D8" s="101" t="n">
        <v>2025</v>
      </c>
    </row>
    <row r="9">
      <c r="A9" s="101" t="n">
        <v>7</v>
      </c>
      <c r="B9" s="101" t="inlineStr">
        <is>
          <t>Oct'25</t>
        </is>
      </c>
      <c r="C9" s="101" t="inlineStr">
        <is>
          <t>Oct</t>
        </is>
      </c>
      <c r="D9" s="101" t="n">
        <v>2025</v>
      </c>
    </row>
    <row r="10">
      <c r="A10" s="101" t="n">
        <v>8</v>
      </c>
      <c r="B10" s="101" t="inlineStr">
        <is>
          <t>Nov'25</t>
        </is>
      </c>
      <c r="C10" s="101" t="inlineStr">
        <is>
          <t>Nov</t>
        </is>
      </c>
      <c r="D10" s="101" t="n">
        <v>2025</v>
      </c>
    </row>
    <row r="11">
      <c r="A11" s="101" t="n">
        <v>9</v>
      </c>
      <c r="B11" s="101" t="inlineStr">
        <is>
          <t>Dec'25</t>
        </is>
      </c>
      <c r="C11" s="101" t="inlineStr">
        <is>
          <t>Dec</t>
        </is>
      </c>
      <c r="D11" s="101" t="n">
        <v>2025</v>
      </c>
    </row>
    <row r="12">
      <c r="A12" s="101" t="n">
        <v>10</v>
      </c>
      <c r="B12" s="101" t="inlineStr">
        <is>
          <t>Jan'25</t>
        </is>
      </c>
      <c r="C12" s="101" t="inlineStr">
        <is>
          <t>Jan</t>
        </is>
      </c>
      <c r="D12" s="101" t="n">
        <v>2025</v>
      </c>
    </row>
    <row r="13">
      <c r="A13" s="101" t="n">
        <v>11</v>
      </c>
      <c r="B13" s="101" t="inlineStr">
        <is>
          <t>Feb'25</t>
        </is>
      </c>
      <c r="C13" s="101" t="inlineStr">
        <is>
          <t>Feb</t>
        </is>
      </c>
      <c r="D13" s="101" t="n">
        <v>2025</v>
      </c>
    </row>
    <row r="14">
      <c r="A14" s="101" t="n">
        <v>12</v>
      </c>
      <c r="B14" s="101" t="inlineStr">
        <is>
          <t>Mar'25</t>
        </is>
      </c>
      <c r="C14" s="101" t="inlineStr">
        <is>
          <t>Mar</t>
        </is>
      </c>
      <c r="D14" s="101" t="n">
        <v>2025</v>
      </c>
    </row>
    <row r="15">
      <c r="A15" s="101" t="n">
        <v>13</v>
      </c>
      <c r="B15" s="101" t="inlineStr">
        <is>
          <t>Apr'26</t>
        </is>
      </c>
      <c r="C15" s="101" t="inlineStr">
        <is>
          <t>Apr</t>
        </is>
      </c>
      <c r="D15" s="101" t="n">
        <v>2026</v>
      </c>
    </row>
    <row r="16">
      <c r="A16" s="101" t="n">
        <v>14</v>
      </c>
      <c r="B16" s="101" t="inlineStr">
        <is>
          <t>May'26</t>
        </is>
      </c>
      <c r="C16" s="101" t="inlineStr">
        <is>
          <t>May</t>
        </is>
      </c>
      <c r="D16" s="101" t="n">
        <v>2026</v>
      </c>
    </row>
    <row r="17">
      <c r="A17" s="101" t="n">
        <v>15</v>
      </c>
      <c r="B17" s="101" t="inlineStr">
        <is>
          <t>Jun'26</t>
        </is>
      </c>
      <c r="C17" s="101" t="inlineStr">
        <is>
          <t>Jun</t>
        </is>
      </c>
      <c r="D17" s="101" t="n">
        <v>2026</v>
      </c>
    </row>
    <row r="18">
      <c r="A18" s="101" t="n">
        <v>16</v>
      </c>
      <c r="B18" s="101" t="inlineStr">
        <is>
          <t>Jul'26</t>
        </is>
      </c>
      <c r="C18" s="101" t="inlineStr">
        <is>
          <t>Jul</t>
        </is>
      </c>
      <c r="D18" s="101" t="n">
        <v>2026</v>
      </c>
    </row>
    <row r="19">
      <c r="A19" s="101" t="n">
        <v>17</v>
      </c>
      <c r="B19" s="101" t="inlineStr">
        <is>
          <t>Aug'26</t>
        </is>
      </c>
      <c r="C19" s="101" t="inlineStr">
        <is>
          <t>Aug</t>
        </is>
      </c>
      <c r="D19" s="101" t="n">
        <v>2026</v>
      </c>
    </row>
    <row r="20">
      <c r="A20" s="101" t="n">
        <v>18</v>
      </c>
      <c r="B20" s="101" t="inlineStr">
        <is>
          <t>Sep'26</t>
        </is>
      </c>
      <c r="C20" s="101" t="inlineStr">
        <is>
          <t>Sep</t>
        </is>
      </c>
      <c r="D20" s="101" t="n">
        <v>2026</v>
      </c>
    </row>
    <row r="21">
      <c r="A21" s="101" t="n">
        <v>19</v>
      </c>
      <c r="B21" s="101" t="inlineStr">
        <is>
          <t>Oct'26</t>
        </is>
      </c>
      <c r="C21" s="101" t="inlineStr">
        <is>
          <t>Oct</t>
        </is>
      </c>
      <c r="D21" s="101" t="n">
        <v>2026</v>
      </c>
    </row>
    <row r="22">
      <c r="A22" s="101" t="n">
        <v>20</v>
      </c>
      <c r="B22" s="101" t="inlineStr">
        <is>
          <t>Nov'26</t>
        </is>
      </c>
      <c r="C22" s="101" t="inlineStr">
        <is>
          <t>Nov</t>
        </is>
      </c>
      <c r="D22" s="101" t="n">
        <v>2026</v>
      </c>
    </row>
    <row r="23">
      <c r="A23" s="101" t="n">
        <v>21</v>
      </c>
      <c r="B23" s="101" t="inlineStr">
        <is>
          <t>Dec'26</t>
        </is>
      </c>
      <c r="C23" s="101" t="inlineStr">
        <is>
          <t>Dec</t>
        </is>
      </c>
      <c r="D23" s="101" t="n">
        <v>2026</v>
      </c>
    </row>
    <row r="24">
      <c r="A24" s="101" t="n">
        <v>22</v>
      </c>
      <c r="B24" s="101" t="inlineStr">
        <is>
          <t>Jan'26</t>
        </is>
      </c>
      <c r="C24" s="101" t="inlineStr">
        <is>
          <t>Jan</t>
        </is>
      </c>
      <c r="D24" s="101" t="n">
        <v>2026</v>
      </c>
    </row>
    <row r="25">
      <c r="A25" s="101" t="n">
        <v>23</v>
      </c>
      <c r="B25" s="101" t="inlineStr">
        <is>
          <t>Feb'26</t>
        </is>
      </c>
      <c r="C25" s="101" t="inlineStr">
        <is>
          <t>Feb</t>
        </is>
      </c>
      <c r="D25" s="101" t="n">
        <v>2026</v>
      </c>
    </row>
    <row r="26">
      <c r="A26" s="101" t="n">
        <v>24</v>
      </c>
      <c r="B26" s="101" t="inlineStr">
        <is>
          <t>Mar'26</t>
        </is>
      </c>
      <c r="C26" s="101" t="inlineStr">
        <is>
          <t>Mar</t>
        </is>
      </c>
      <c r="D26" s="101" t="n">
        <v>2026</v>
      </c>
    </row>
    <row r="27">
      <c r="A27" s="101" t="n">
        <v>25</v>
      </c>
      <c r="B27" s="101" t="inlineStr">
        <is>
          <t>Apr'27</t>
        </is>
      </c>
      <c r="C27" s="101" t="inlineStr">
        <is>
          <t>Apr</t>
        </is>
      </c>
      <c r="D27" s="101" t="n">
        <v>2027</v>
      </c>
    </row>
    <row r="28">
      <c r="A28" s="101" t="n">
        <v>26</v>
      </c>
      <c r="B28" s="101" t="inlineStr">
        <is>
          <t>May'27</t>
        </is>
      </c>
      <c r="C28" s="101" t="inlineStr">
        <is>
          <t>May</t>
        </is>
      </c>
      <c r="D28" s="101" t="n">
        <v>2027</v>
      </c>
    </row>
    <row r="29">
      <c r="A29" s="101" t="n">
        <v>27</v>
      </c>
      <c r="B29" s="101" t="inlineStr">
        <is>
          <t>Jun'27</t>
        </is>
      </c>
      <c r="C29" s="101" t="inlineStr">
        <is>
          <t>Jun</t>
        </is>
      </c>
      <c r="D29" s="101" t="n">
        <v>2027</v>
      </c>
    </row>
    <row r="30">
      <c r="A30" s="101" t="n">
        <v>28</v>
      </c>
      <c r="B30" s="101" t="inlineStr">
        <is>
          <t>Jul'27</t>
        </is>
      </c>
      <c r="C30" s="101" t="inlineStr">
        <is>
          <t>Jul</t>
        </is>
      </c>
      <c r="D30" s="101" t="n">
        <v>2027</v>
      </c>
    </row>
    <row r="31">
      <c r="A31" s="101" t="n">
        <v>29</v>
      </c>
      <c r="B31" s="101" t="inlineStr">
        <is>
          <t>Aug'27</t>
        </is>
      </c>
      <c r="C31" s="101" t="inlineStr">
        <is>
          <t>Aug</t>
        </is>
      </c>
      <c r="D31" s="101" t="n">
        <v>2027</v>
      </c>
    </row>
    <row r="32">
      <c r="A32" s="101" t="n">
        <v>30</v>
      </c>
      <c r="B32" s="101" t="inlineStr">
        <is>
          <t>Sep'27</t>
        </is>
      </c>
      <c r="C32" s="101" t="inlineStr">
        <is>
          <t>Sep</t>
        </is>
      </c>
      <c r="D32" s="101" t="n">
        <v>2027</v>
      </c>
    </row>
    <row r="33">
      <c r="A33" s="101" t="n">
        <v>31</v>
      </c>
      <c r="B33" s="101" t="inlineStr">
        <is>
          <t>Oct'27</t>
        </is>
      </c>
      <c r="C33" s="101" t="inlineStr">
        <is>
          <t>Oct</t>
        </is>
      </c>
      <c r="D33" s="101" t="n">
        <v>2027</v>
      </c>
    </row>
    <row r="34">
      <c r="A34" s="101" t="n">
        <v>32</v>
      </c>
      <c r="B34" s="101" t="inlineStr">
        <is>
          <t>Nov'27</t>
        </is>
      </c>
      <c r="C34" s="101" t="inlineStr">
        <is>
          <t>Nov</t>
        </is>
      </c>
      <c r="D34" s="101" t="n">
        <v>2027</v>
      </c>
    </row>
    <row r="35">
      <c r="A35" s="101" t="n">
        <v>33</v>
      </c>
      <c r="B35" s="101" t="inlineStr">
        <is>
          <t>Dec'27</t>
        </is>
      </c>
      <c r="C35" s="101" t="inlineStr">
        <is>
          <t>Dec</t>
        </is>
      </c>
      <c r="D35" s="101" t="n">
        <v>2027</v>
      </c>
    </row>
    <row r="36">
      <c r="A36" s="101" t="n">
        <v>34</v>
      </c>
      <c r="B36" s="101" t="inlineStr">
        <is>
          <t>Jan'27</t>
        </is>
      </c>
      <c r="C36" s="101" t="inlineStr">
        <is>
          <t>Jan</t>
        </is>
      </c>
      <c r="D36" s="101" t="n">
        <v>2027</v>
      </c>
    </row>
    <row r="37">
      <c r="A37" s="101" t="n">
        <v>35</v>
      </c>
      <c r="B37" s="101" t="inlineStr">
        <is>
          <t>Feb'27</t>
        </is>
      </c>
      <c r="C37" s="101" t="inlineStr">
        <is>
          <t>Feb</t>
        </is>
      </c>
      <c r="D37" s="101" t="n">
        <v>2027</v>
      </c>
    </row>
    <row r="38">
      <c r="A38" s="101" t="n">
        <v>36</v>
      </c>
      <c r="B38" s="101" t="inlineStr">
        <is>
          <t>Mar'27</t>
        </is>
      </c>
      <c r="C38" s="101" t="inlineStr">
        <is>
          <t>Mar</t>
        </is>
      </c>
      <c r="D38" s="101" t="n">
        <v>2027</v>
      </c>
    </row>
  </sheetData>
  <mergeCells count="1">
    <mergeCell ref="A1:D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96"/>
  <sheetViews>
    <sheetView showGridLines="0" workbookViewId="0">
      <selection activeCell="A1" sqref="A1"/>
    </sheetView>
  </sheetViews>
  <sheetFormatPr baseColWidth="8" defaultRowHeight="15"/>
  <cols>
    <col width="100" customWidth="1" min="1" max="1"/>
    <col width="20" customWidth="1" min="2" max="2"/>
  </cols>
  <sheetData>
    <row r="1" ht="26" customHeight="1">
      <c r="A1" s="1" t="inlineStr">
        <is>
          <t>DOCUMENTATION  ·  assumptions, formulas, business rules, refresh</t>
        </is>
      </c>
    </row>
    <row r="2">
      <c r="A2" s="122" t="inlineStr">
        <is>
          <t>PURPOSE</t>
        </is>
      </c>
    </row>
    <row r="3">
      <c r="A3" s="123" t="inlineStr">
        <is>
          <t>Rolling 3-month (M, M+1, M+2) demand forecast &amp; S&amp;OP planning model for Honasa / Mamaearth</t>
        </is>
      </c>
    </row>
    <row r="4">
      <c r="A4" s="123" t="inlineStr">
        <is>
          <t>Modern Trade. Combines statistical forecasting, business overlay and an AI-style ensemble,</t>
        </is>
      </c>
    </row>
    <row r="5">
      <c r="A5" s="123" t="inlineStr">
        <is>
          <t>then reconciles top-down target with bottom-up forecast across the full hierarchy.</t>
        </is>
      </c>
    </row>
    <row r="7">
      <c r="A7" s="122" t="inlineStr">
        <is>
          <t>DATA (all real, no dummy numbers)</t>
        </is>
      </c>
    </row>
    <row r="8">
      <c r="A8" s="123" t="inlineStr">
        <is>
          <t>Primary Sales History: real MT primary invoicing Apr'25–May'26, aggregated to Brand×Category</t>
        </is>
      </c>
    </row>
    <row r="9">
      <c r="A9" s="123" t="inlineStr">
        <is>
          <t xml:space="preserve">   from PowerBI/RawDataFolders/Primary_Article_Monthly/*.csv.</t>
        </is>
      </c>
    </row>
    <row r="10">
      <c r="A10" s="123" t="inlineStr">
        <is>
          <t>Offtake History: real store offtake (Apr'26–May'26) from Offtake_Monthly/*.csv.</t>
        </is>
      </c>
    </row>
    <row r="11">
      <c r="A11" s="123" t="inlineStr">
        <is>
          <t>Monthly Target Upload: FY26-27 company NSV plan (seed).</t>
        </is>
      </c>
    </row>
    <row r="12">
      <c r="A12" s="123" t="inlineStr">
        <is>
          <t>Distributor Master: real top ship-to accounts; service metrics are planner/DMS inputs (blue).</t>
        </is>
      </c>
    </row>
    <row r="13">
      <c r="A13" s="123" t="inlineStr">
        <is>
          <t>Contribution %, warehouse mapping etc. derive from the real primary footprint.</t>
        </is>
      </c>
    </row>
    <row r="15">
      <c r="A15" s="122" t="inlineStr">
        <is>
          <t>ROLLING HORIZON</t>
        </is>
      </c>
    </row>
    <row r="16">
      <c r="A16" s="123" t="inlineStr">
        <is>
          <t>Control Panel → Last Actual Month and Forecast Month (M) drive everything.</t>
        </is>
      </c>
    </row>
    <row r="17">
      <c r="A17" s="123" t="inlineStr">
        <is>
          <t>M+1, M+2 and all indices are derived via MATCH on the Calendar; advance Forecast Month by</t>
        </is>
      </c>
    </row>
    <row r="18">
      <c r="A18" s="123" t="inlineStr">
        <is>
          <t>one each cycle and the entire workbook rolls forward. Add a new month column to Primary Sales</t>
        </is>
      </c>
    </row>
    <row r="19">
      <c r="A19" s="123" t="inlineStr">
        <is>
          <t>History and update Last Actual Month to bring in a fresh actual.</t>
        </is>
      </c>
    </row>
    <row r="21">
      <c r="A21" s="122" t="inlineStr">
        <is>
          <t>GRANULAR FORECAST PLAN (Article × Brand × Chain × Region)</t>
        </is>
      </c>
    </row>
    <row r="22">
      <c r="A22" s="123" t="inlineStr">
        <is>
          <t>The 'Forecast Plan Article-Chain' tab cascades the Brand×Category rolling forecast down to each</t>
        </is>
      </c>
    </row>
    <row r="23">
      <c r="A23" s="123" t="inlineStr">
        <is>
          <t>Article × Chain × Region line by REAL historical contribution % (primary Apr'25–May'26).</t>
        </is>
      </c>
    </row>
    <row r="24">
      <c r="A24" s="123" t="inlineStr">
        <is>
          <t>Because contributions within a Brand×Category sum to 100% (a '(long tail)' line holds the</t>
        </is>
      </c>
    </row>
    <row r="25">
      <c r="A25" s="123" t="inlineStr">
        <is>
          <t>residual), the granular plan reconciles EXACTLY to the Forecast Engine Base total.</t>
        </is>
      </c>
    </row>
    <row r="26">
      <c r="A26" s="123" t="inlineStr">
        <is>
          <t>Use the column filters to slice by Brand / Chain / Region / Article. Contribution % (or the</t>
        </is>
      </c>
    </row>
    <row r="27">
      <c r="A27" s="123" t="inlineStr">
        <is>
          <t>historical NSV that drives it) is editable — override a line and the plan re-weights within its</t>
        </is>
      </c>
    </row>
    <row r="28">
      <c r="A28" s="123" t="inlineStr">
        <is>
          <t>Brand×Category while still tying back to the engine.</t>
        </is>
      </c>
    </row>
    <row r="30">
      <c r="A30" s="122" t="inlineStr">
        <is>
          <t>STATISTICAL METHODS (per Brand×Category, ₹ Cr)</t>
        </is>
      </c>
    </row>
    <row r="31">
      <c r="A31" s="123" t="inlineStr">
        <is>
          <t>WMA            = w1·M-1 + w2·M-2 + w3·M-3, reseasonalised.</t>
        </is>
      </c>
    </row>
    <row r="32">
      <c r="A32" s="123" t="inlineStr">
        <is>
          <t>Exp. Smoothing = normalised α(1-α)^k weighting of the last 6 months.</t>
        </is>
      </c>
    </row>
    <row r="33">
      <c r="A33" s="123" t="inlineStr">
        <is>
          <t>Linear Trend   = last + (last − M-6)/5 · t, reseasonalised.</t>
        </is>
      </c>
    </row>
    <row r="34">
      <c r="A34" s="123" t="inlineStr">
        <is>
          <t>Seasonal Index = 12-month mean × seasonal multiplier.</t>
        </is>
      </c>
    </row>
    <row r="35">
      <c r="A35" s="123" t="inlineStr">
        <is>
          <t>CAGR           = last × (1+monthly CAGR)^t.</t>
        </is>
      </c>
    </row>
    <row r="36">
      <c r="A36" s="123" t="inlineStr">
        <is>
          <t>Rolling Avg    = 3-month average, reseasonalised.</t>
        </is>
      </c>
    </row>
    <row r="37">
      <c r="A37" s="123" t="inlineStr">
        <is>
          <t>YoY Growth     = same-month-last-year × (1 + YoY growth).</t>
        </is>
      </c>
    </row>
    <row r="38">
      <c r="A38" s="123" t="inlineStr">
        <is>
          <t>Seasonal multiplier = category factor for the target month ÷ its 12-month average</t>
        </is>
      </c>
    </row>
    <row r="39">
      <c r="A39" s="123" t="inlineStr">
        <is>
          <t xml:space="preserve">   (Seasonality Matrix; falls back to 100% if the category is absent).</t>
        </is>
      </c>
    </row>
    <row r="40">
      <c r="A40" s="123" t="inlineStr">
        <is>
          <t>Statistical    = weight-normalised blend of the seven methods (weights on Control Panel).</t>
        </is>
      </c>
    </row>
    <row r="42">
      <c r="A42" s="122" t="inlineStr">
        <is>
          <t>BUSINESS &amp; AI LAYERS</t>
        </is>
      </c>
    </row>
    <row r="43">
      <c r="A43" s="123" t="inlineStr">
        <is>
          <t>Business = Statistical × (1 + business adjustment % + promo uplift %). Promo uplift comes</t>
        </is>
      </c>
    </row>
    <row r="44">
      <c r="A44" s="123" t="inlineStr">
        <is>
          <t xml:space="preserve">   from the Promotion Calendar (Brand×Category×Month).</t>
        </is>
      </c>
    </row>
    <row r="45">
      <c r="A45" s="123" t="inlineStr">
        <is>
          <t>AI Ensemble = weighted blend of Statistical, Business and a driver-adjusted Statistical</t>
        </is>
      </c>
    </row>
    <row r="46">
      <c r="A46" s="123" t="inlineStr">
        <is>
          <t xml:space="preserve">   (brand momentum + promo response), normalised by the three AI weights.</t>
        </is>
      </c>
    </row>
    <row r="47">
      <c r="A47" s="123" t="inlineStr">
        <is>
          <t>Final (scenario) = AI × scenario multiplier + NPI loading (₹ Cr) for the month.</t>
        </is>
      </c>
    </row>
    <row r="49">
      <c r="A49" s="122" t="inlineStr">
        <is>
          <t>SCENARIOS</t>
        </is>
      </c>
    </row>
    <row r="50">
      <c r="A50" s="123" t="inlineStr">
        <is>
          <t>Base / Optimistic / Conservative multipliers on the Control Panel scale the AI forecast.</t>
        </is>
      </c>
    </row>
    <row r="51">
      <c r="A51" s="123" t="inlineStr">
        <is>
          <t>The Business Scenario selector drives the 'Selected' columns and the dashboard.</t>
        </is>
      </c>
    </row>
    <row r="53">
      <c r="A53" s="122" t="inlineStr">
        <is>
          <t>TARGET DISTRIBUTION &amp; RECONCILIATION</t>
        </is>
      </c>
    </row>
    <row r="54">
      <c r="A54" s="123" t="inlineStr">
        <is>
          <t>Company 3-month target distributes to Zone / Chain / State / Article by real contribution %.</t>
        </is>
      </c>
    </row>
    <row r="55">
      <c r="A55" s="123" t="inlineStr">
        <is>
          <t>Any level accepts an override (blue); the reconciliation line shows variance vs the company</t>
        </is>
      </c>
    </row>
    <row r="56">
      <c r="A56" s="123" t="inlineStr">
        <is>
          <t>control total so top-down and bottom-up always tie out.</t>
        </is>
      </c>
    </row>
    <row r="58">
      <c r="A58" s="122" t="inlineStr">
        <is>
          <t>PRIMARY PLANNING</t>
        </is>
      </c>
    </row>
    <row r="59">
      <c r="A59" s="123" t="inlineStr">
        <is>
          <t>Suggested Primary = Expected Offtake (Base M) + Safety + Pipeline + Promo/NPI − Excess − Slow-moving.</t>
        </is>
      </c>
    </row>
    <row r="61">
      <c r="A61" s="122" t="inlineStr">
        <is>
          <t>WAREHOUSES</t>
        </is>
      </c>
    </row>
    <row r="62">
      <c r="A62" s="123" t="inlineStr">
        <is>
          <t>Base forecast is split to Gurgaon / Mumbai / Bangalore / Kolkata by editable demand share,</t>
        </is>
      </c>
    </row>
    <row r="63">
      <c r="A63" s="123" t="inlineStr">
        <is>
          <t>checked against Control-Panel capacity; peak utilisation &gt;100% raises a reallocation alert.</t>
        </is>
      </c>
    </row>
    <row r="65">
      <c r="A65" s="122" t="inlineStr">
        <is>
          <t>ACCURACY</t>
        </is>
      </c>
    </row>
    <row r="66">
      <c r="A66" s="123" t="inlineStr">
        <is>
          <t>1-month-ahead WMA back-test on real company primary: MAPE, WMAPE, Bias, Tracking Signal,</t>
        </is>
      </c>
    </row>
    <row r="67">
      <c r="A67" s="123" t="inlineStr">
        <is>
          <t>Accuracy % and MAE. Recomputes as new actual months are added.</t>
        </is>
      </c>
    </row>
    <row r="69">
      <c r="A69" s="122" t="inlineStr">
        <is>
          <t>REFRESH STEPS (monthly)</t>
        </is>
      </c>
    </row>
    <row r="70">
      <c r="A70" s="123" t="inlineStr">
        <is>
          <t>1. Paste the new month's primary into Primary Sales History (new column) and offtake into Offtake History.</t>
        </is>
      </c>
    </row>
    <row r="71">
      <c r="A71" s="123" t="inlineStr">
        <is>
          <t>2. Set Control Panel → Last Actual Month = the new month; Forecast Month (M) = the next month.</t>
        </is>
      </c>
    </row>
    <row r="72">
      <c r="A72" s="123" t="inlineStr">
        <is>
          <t>3. Update Promotion Calendar / NPI &amp; EPD for the new horizon; review Business Adj % in the engine.</t>
        </is>
      </c>
    </row>
    <row r="73">
      <c r="A73" s="123" t="inlineStr">
        <is>
          <t>4. Review Scenario Summary, Warehouse Optimization and AI Business Insights for the S&amp;OP meeting.</t>
        </is>
      </c>
    </row>
    <row r="74">
      <c r="A74" s="123" t="inlineStr">
        <is>
          <t>5. Capture manual changes in the Demand Planner Workbench (with reason) — the audit trail is preserved.</t>
        </is>
      </c>
    </row>
    <row r="75">
      <c r="A75" s="123" t="inlineStr">
        <is>
          <t>Regenerate from source any time with:  python scripts/build_demand_forecast.py</t>
        </is>
      </c>
    </row>
    <row r="77">
      <c r="A77" s="122" t="inlineStr">
        <is>
          <t>BUSINESS EVENT ENGINE (separate module)</t>
        </is>
      </c>
    </row>
    <row r="78">
      <c r="A78" s="123" t="inlineStr">
        <is>
          <t>Business_Event_Master: one row per activity (NPI, promo, distribution, institutional, …).</t>
        </is>
      </c>
    </row>
    <row r="79">
      <c r="A79" s="123" t="inlineStr">
        <is>
          <t xml:space="preserve">   Only rows with Status = Approved affect the forecast; Baseline is never overwritten.</t>
        </is>
      </c>
    </row>
    <row r="80">
      <c r="A80" s="123" t="inlineStr">
        <is>
          <t>Impact methods (any combination per event):</t>
        </is>
      </c>
    </row>
    <row r="81">
      <c r="A81" s="123" t="inlineStr">
        <is>
          <t xml:space="preserve">   · Percentage uplift  — Base(brand×cat) × effective uplift %.</t>
        </is>
      </c>
    </row>
    <row r="82">
      <c r="A82" s="123" t="inlineStr">
        <is>
          <t xml:space="preserve">   · Fixed additional qty — one-time, applied in the start month only.</t>
        </is>
      </c>
    </row>
    <row r="83">
      <c r="A83" s="123" t="inlineStr">
        <is>
          <t xml:space="preserve">   · Distribution gain  — New Stores × Units/Store, ramped up over the launch curve.</t>
        </is>
      </c>
    </row>
    <row r="84">
      <c r="A84" s="123" t="inlineStr">
        <is>
          <t>Effective uplift = base uplift × Confidence × Priority weight × Category seasonality × ramp/decay.</t>
        </is>
      </c>
    </row>
    <row r="85">
      <c r="A85" s="123" t="inlineStr">
        <is>
          <t xml:space="preserve">   base uplift = explicit Expected Uplift %, else Chain Event Library, else Article Event Library.</t>
        </is>
      </c>
    </row>
    <row r="86">
      <c r="A86" s="123" t="inlineStr">
        <is>
          <t>Ramp-up (NPI/structural) and decay (promo) curves are editable on Event Settings.</t>
        </is>
      </c>
    </row>
    <row r="87">
      <c r="A87" s="123" t="inlineStr">
        <is>
          <t>Event Impact Engine combines OVERLAPPING % events MULTIPLICATIVELY — 1−Π(1+uᵢ), via EXP(Σln) —</t>
        </is>
      </c>
    </row>
    <row r="88">
      <c r="A88" s="123" t="inlineStr">
        <is>
          <t xml:space="preserve">   so five promos on one Chain×Brand×Month do not naively add to +67%; absolute events are summed.</t>
        </is>
      </c>
    </row>
    <row r="89">
      <c r="A89" s="123" t="inlineStr">
        <is>
          <t>Baseline, Event Uplift and Final are always shown side by side (Event Impact Engine / Dashboard).</t>
        </is>
      </c>
    </row>
    <row r="90">
      <c r="A90" s="123" t="inlineStr">
        <is>
          <t>Event Simulator: instant what-ifs (not gated by approval). Event Calendar: live timeline + impact.</t>
        </is>
      </c>
    </row>
    <row r="91">
      <c r="A91" s="123" t="inlineStr">
        <is>
          <t>Demand Driver Library: reusable objects with historical learning → Recommended Uplift the planner</t>
        </is>
      </c>
    </row>
    <row r="92">
      <c r="A92" s="123" t="inlineStr">
        <is>
          <t xml:space="preserve">   can accept / modify / reject (AI-assisted planning, à la SAP IBP / Kinaxis / Blue Yonder).</t>
        </is>
      </c>
    </row>
    <row r="93">
      <c r="A93" s="123" t="inlineStr">
        <is>
          <t>Event horizon reference: Current month (M) + M+1 + M+2 tie to the baseline; ramp/decay project further.</t>
        </is>
      </c>
    </row>
    <row r="95">
      <c r="A95" s="122" t="inlineStr">
        <is>
          <t>COLOUR LEGEND</t>
        </is>
      </c>
    </row>
    <row r="96">
      <c r="A96" s="123" t="inlineStr">
        <is>
          <t>Blue text on pale-yellow fill = editable input.   Black = formula.   Green = cross-sheet link.</t>
        </is>
      </c>
    </row>
  </sheetData>
  <mergeCells count="83">
    <mergeCell ref="A15:B15"/>
    <mergeCell ref="A73:B73"/>
    <mergeCell ref="A51:B51"/>
    <mergeCell ref="A88:B88"/>
    <mergeCell ref="A70:B70"/>
    <mergeCell ref="A54:B54"/>
    <mergeCell ref="A7:B7"/>
    <mergeCell ref="A90:B90"/>
    <mergeCell ref="A74:B74"/>
    <mergeCell ref="A56:B56"/>
    <mergeCell ref="A27:B27"/>
    <mergeCell ref="A33:B33"/>
    <mergeCell ref="A85:B85"/>
    <mergeCell ref="A42:B42"/>
    <mergeCell ref="A17:B17"/>
    <mergeCell ref="A22:B22"/>
    <mergeCell ref="A53:B53"/>
    <mergeCell ref="A35:B35"/>
    <mergeCell ref="A62:B62"/>
    <mergeCell ref="A19:B19"/>
    <mergeCell ref="A28:B28"/>
    <mergeCell ref="A9:B9"/>
    <mergeCell ref="A39:B39"/>
    <mergeCell ref="A30:B30"/>
    <mergeCell ref="A59:B59"/>
    <mergeCell ref="A11:B11"/>
    <mergeCell ref="A45:B45"/>
    <mergeCell ref="A79:B79"/>
    <mergeCell ref="A61:B61"/>
    <mergeCell ref="A87:B87"/>
    <mergeCell ref="A37:B37"/>
    <mergeCell ref="A46:B46"/>
    <mergeCell ref="A89:B89"/>
    <mergeCell ref="A26:B26"/>
    <mergeCell ref="A71:B71"/>
    <mergeCell ref="A8:B8"/>
    <mergeCell ref="A91:B91"/>
    <mergeCell ref="A63:B63"/>
    <mergeCell ref="A10:B10"/>
    <mergeCell ref="A93:B93"/>
    <mergeCell ref="A77:B77"/>
    <mergeCell ref="A83:B83"/>
    <mergeCell ref="A34:B34"/>
    <mergeCell ref="A92:B92"/>
    <mergeCell ref="A49:B49"/>
    <mergeCell ref="A36:B36"/>
    <mergeCell ref="A1:B1"/>
    <mergeCell ref="A69:B69"/>
    <mergeCell ref="A78:B78"/>
    <mergeCell ref="A65:B65"/>
    <mergeCell ref="A75:B75"/>
    <mergeCell ref="A80:B80"/>
    <mergeCell ref="A3:B3"/>
    <mergeCell ref="A55:B55"/>
    <mergeCell ref="A12:B12"/>
    <mergeCell ref="A21:B21"/>
    <mergeCell ref="A5:B5"/>
    <mergeCell ref="A32:B32"/>
    <mergeCell ref="A23:B23"/>
    <mergeCell ref="A4:B4"/>
    <mergeCell ref="A38:B38"/>
    <mergeCell ref="A96:B96"/>
    <mergeCell ref="A43:B43"/>
    <mergeCell ref="A40:B40"/>
    <mergeCell ref="A67:B67"/>
    <mergeCell ref="A24:B24"/>
    <mergeCell ref="A82:B82"/>
    <mergeCell ref="A16:B16"/>
    <mergeCell ref="A25:B25"/>
    <mergeCell ref="A84:B84"/>
    <mergeCell ref="A66:B66"/>
    <mergeCell ref="A18:B18"/>
    <mergeCell ref="A50:B50"/>
    <mergeCell ref="A2:B2"/>
    <mergeCell ref="A86:B86"/>
    <mergeCell ref="A95:B95"/>
    <mergeCell ref="A47:B47"/>
    <mergeCell ref="A72:B72"/>
    <mergeCell ref="A81:B81"/>
    <mergeCell ref="A13:B13"/>
    <mergeCell ref="A44:B44"/>
    <mergeCell ref="A31:B31"/>
    <mergeCell ref="A58:B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2026-07-31T19:31:15Z</dcterms:created>
  <dcterms:modified xsi:type="dcterms:W3CDTF">2026-07-31T19:31:16Z</dcterms:modified>
</cp:coreProperties>
</file>