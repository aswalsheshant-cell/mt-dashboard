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_SUMMARY" sheetId="1" state="visible" r:id="rId1"/>
    <sheet name="EVENTS_APPROVAL" sheetId="2" state="visible" r:id="rId2"/>
    <sheet name="TARGETS_TEMPLATE" sheetId="3" state="visible" r:id="rId3"/>
    <sheet name="NPI_TEMPLATE" sheetId="4" state="visible" r:id="rId4"/>
    <sheet name="MARGIN_STATUS" sheetId="5" state="visible" r:id="rId5"/>
    <sheet name="UNMAPPED_EANS" sheetId="6" state="visible" r:id="rId6"/>
    <sheet name="VALIDATION_CHECKLIST" sheetId="7" state="visible" r:id="rId7"/>
    <sheet name="COMMANDS_REFERENCE" sheetId="8" state="visible" r:id="rId8"/>
  </sheets>
  <definedNames>
    <definedName name="_xlnm._FilterDatabase" localSheetId="0" hidden="1">'TRACKER_SUMMARY'!$A$7:$L$15</definedName>
    <definedName name="_xlnm._FilterDatabase" localSheetId="1" hidden="1">'EVENTS_APPROVAL'!$A$3:$S$16</definedName>
    <definedName name="_xlnm._FilterDatabase" localSheetId="6" hidden="1">'VALIDATION_CHECKLIST'!$A$3:$I$27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9C0006"/>
      <sz val="9"/>
    </font>
    <font>
      <name val="Arial"/>
      <b val="1"/>
      <color rgb="001F3864"/>
      <sz val="10"/>
    </font>
    <font>
      <name val="Arial"/>
      <b val="1"/>
      <color rgb="00FFFFFF"/>
      <sz val="9"/>
    </font>
    <font>
      <name val="Arial"/>
      <b val="1"/>
      <color rgb="00000000"/>
      <sz val="11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9C5700"/>
      <sz val="9"/>
    </font>
    <font>
      <name val="Arial"/>
      <b val="1"/>
      <color rgb="00276221"/>
      <sz val="9"/>
    </font>
    <font>
      <name val="Arial"/>
      <b val="1"/>
      <color rgb="00FFFFFF"/>
      <sz val="12"/>
    </font>
    <font>
      <name val="Arial"/>
      <b val="1"/>
      <color rgb="00000000"/>
      <sz val="12"/>
    </font>
    <font>
      <name val="Arial"/>
      <color rgb="00777777"/>
      <sz val="9"/>
    </font>
    <font>
      <name val="Arial"/>
      <color rgb="00000000"/>
      <sz val="10"/>
    </font>
    <font>
      <name val="Arial"/>
      <b val="1"/>
      <color rgb="009C5700"/>
      <sz val="10"/>
    </font>
    <font>
      <name val="Arial"/>
      <b val="1"/>
      <color rgb="009C0006"/>
      <sz val="10"/>
    </font>
    <font>
      <name val="Arial"/>
      <color rgb="001F3864"/>
      <sz val="9"/>
    </font>
    <font>
      <name val="Arial"/>
      <b val="1"/>
      <color rgb="00000000"/>
      <sz val="14"/>
    </font>
    <font>
      <name val="Arial"/>
      <b val="1"/>
      <color rgb="00375623"/>
      <sz val="9"/>
    </font>
    <font>
      <name val="Courier New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2F7FC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EDF2F9"/>
      </patternFill>
    </fill>
  </fills>
  <borders count="6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  <border>
      <left/>
      <right/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1" fillId="5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9" fontId="11" fillId="5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16" fillId="4" borderId="0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top" wrapText="1"/>
    </xf>
    <xf numFmtId="0" fontId="19" fillId="11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12" customWidth="1" min="4" max="4"/>
    <col width="20" customWidth="1" min="5" max="5"/>
    <col width="7" customWidth="1" min="6" max="6"/>
    <col width="14" customWidth="1" min="7" max="7"/>
    <col width="14" customWidth="1" min="8" max="8"/>
    <col width="22" customWidth="1" min="9" max="9"/>
    <col width="36" customWidth="1" min="10" max="10"/>
    <col width="38" customWidth="1" min="11" max="11"/>
    <col width="44" customWidth="1" min="12" max="12"/>
  </cols>
  <sheetData>
    <row r="1" ht="28" customHeight="1">
      <c r="A1" s="1" t="inlineStr">
        <is>
          <t>BUSINESS INPUT APPROVAL TRACKER — FY27 Forecast Engine  |  Honasa / Mamaearth MT</t>
        </is>
      </c>
    </row>
    <row r="2" ht="18" customHeight="1">
      <c r="A2" s="2" t="inlineStr">
        <is>
          <t>Frozen commit: b08866f  |  Freeze date: 2026-08-01  |  Generated: 2026-08-01  |  DO NOT run refresh_forecast.py until all P1 rows show APPROVED</t>
        </is>
      </c>
    </row>
    <row r="3" ht="20" customHeight="1">
      <c r="A3" s="3" t="inlineStr">
        <is>
          <t>LIVE APPROVAL DASHBOARD  (auto-calculates from data below)</t>
        </is>
      </c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16" t="n"/>
    </row>
    <row r="4" ht="26" customHeight="1">
      <c r="A4" s="4" t="inlineStr">
        <is>
          <t>Total Inputs</t>
        </is>
      </c>
      <c r="B4" s="4" t="inlineStr">
        <is>
          <t>✓ Approved</t>
        </is>
      </c>
      <c r="C4" s="4" t="inlineStr">
        <is>
          <t>⏳ Pending</t>
        </is>
      </c>
      <c r="D4" s="4" t="inlineStr">
        <is>
          <t>✗ Blocked / Missing</t>
        </is>
      </c>
      <c r="E4" s="4" t="inlineStr">
        <is>
          <t>P1 Items Not Approved</t>
        </is>
      </c>
      <c r="F4" s="4" t="inlineStr">
        <is>
          <t>Safe to Run Forecast?</t>
        </is>
      </c>
    </row>
    <row r="5" ht="30" customHeight="1">
      <c r="A5" s="5">
        <f>COUNTA(A8:A15)</f>
        <v/>
      </c>
      <c r="B5" s="5">
        <f>COUNTIF(E8:E15,"APPROVED")</f>
        <v/>
      </c>
      <c r="C5" s="5">
        <f>COUNTIF(E8:E15,"PENDING_APPROVAL")+COUNTIF(E8:E15,"SCHEMA_ONLY")</f>
        <v/>
      </c>
      <c r="D5" s="5">
        <f>COUNTIF(E8:E15,"BLOCKED")+COUNTIF(E8:E15,"MISSING")</f>
        <v/>
      </c>
      <c r="E5" s="5">
        <f>COUNTIFS(F8:F15,"P1",E8:E15,"&lt;&gt;APPROVED")</f>
        <v/>
      </c>
      <c r="F5" s="6">
        <f>IF(COUNTIF(E8:E15,"BLOCKED")&gt;0,"NO — BLOCKED",IF(COUNTIF(E8:E15,"MISSING")&gt;0,"NO — MISSING inputs",IF(COUNTIF(E8:E15,"PENDING_APPROVAL")&gt;0,"CAUTION — items pending","YES — run refresh_forecast.py")))</f>
        <v/>
      </c>
    </row>
    <row r="6" ht="8" customHeight="1"/>
    <row r="7" ht="30" customHeight="1">
      <c r="A7" s="7" t="inlineStr">
        <is>
          <t>Input File</t>
        </is>
      </c>
      <c r="B7" s="7" t="inlineStr">
        <is>
          <t>Business Owner</t>
        </is>
      </c>
      <c r="C7" s="7" t="inlineStr">
        <is>
          <t>Reviewer</t>
        </is>
      </c>
      <c r="D7" s="7" t="inlineStr">
        <is>
          <t>Due Date</t>
        </is>
      </c>
      <c r="E7" s="7" t="inlineStr">
        <is>
          <t>Approval Status</t>
        </is>
      </c>
      <c r="F7" s="7" t="inlineStr">
        <is>
          <t>Priority</t>
        </is>
      </c>
      <c r="G7" s="7" t="inlineStr">
        <is>
          <t>Rows Available</t>
        </is>
      </c>
      <c r="H7" s="7" t="inlineStr">
        <is>
          <t>Rows Approved</t>
        </is>
      </c>
      <c r="I7" s="7" t="inlineStr">
        <is>
          <t>Coverage</t>
        </is>
      </c>
      <c r="J7" s="7" t="inlineStr">
        <is>
          <t>Blocking Issue</t>
        </is>
      </c>
      <c r="K7" s="7" t="inlineStr">
        <is>
          <t>Missing Fields</t>
        </is>
      </c>
      <c r="L7" s="7" t="inlineStr">
        <is>
          <t>Comments</t>
        </is>
      </c>
    </row>
    <row r="8" ht="36" customHeight="1">
      <c r="A8" s="8" t="inlineStr">
        <is>
          <t>events_calendar.csv</t>
        </is>
      </c>
      <c r="B8" s="8" t="inlineStr">
        <is>
          <t>Marketing + KAM</t>
        </is>
      </c>
      <c r="C8" s="8" t="inlineStr">
        <is>
          <t>MT Head / Demand Planning</t>
        </is>
      </c>
      <c r="D8" s="8" t="inlineStr">
        <is>
          <t>2026-08-10</t>
        </is>
      </c>
      <c r="E8" s="9" t="inlineStr">
        <is>
          <t>PENDING_APPROVAL</t>
        </is>
      </c>
      <c r="F8" s="8" t="inlineStr">
        <is>
          <t>P1</t>
        </is>
      </c>
      <c r="G8" s="8" t="inlineStr">
        <is>
          <t>13</t>
        </is>
      </c>
      <c r="H8" s="8" t="inlineStr">
        <is>
          <t>0</t>
        </is>
      </c>
      <c r="I8" s="8" t="inlineStr">
        <is>
          <t>0 / 13 events approved</t>
        </is>
      </c>
      <c r="J8" s="8" t="inlineStr">
        <is>
          <t>Forecast uses PLACEHOLDER uplifts — not business-approved</t>
        </is>
      </c>
      <c r="K8" s="8" t="inlineStr">
        <is>
          <t>uplift_pct (all 13), conservative/base/stretch variants, approval_status</t>
        </is>
      </c>
      <c r="L8" s="8" t="inlineStr">
        <is>
          <t>All 13 events PLACEHOLDER_TBC. Must approve before Aug forecast run.</t>
        </is>
      </c>
    </row>
    <row r="9" ht="36" customHeight="1">
      <c r="A9" s="10" t="inlineStr">
        <is>
          <t>launch_plan.csv</t>
        </is>
      </c>
      <c r="B9" s="10" t="inlineStr">
        <is>
          <t>Category + Marketing</t>
        </is>
      </c>
      <c r="C9" s="10" t="inlineStr">
        <is>
          <t>Supply Chain / Demand Planning</t>
        </is>
      </c>
      <c r="D9" s="10" t="inlineStr">
        <is>
          <t>2026-08-15</t>
        </is>
      </c>
      <c r="E9" s="9" t="inlineStr">
        <is>
          <t>SCHEMA_ONLY</t>
        </is>
      </c>
      <c r="F9" s="10" t="inlineStr">
        <is>
          <t>P2</t>
        </is>
      </c>
      <c r="G9" s="10" t="inlineStr">
        <is>
          <t>0</t>
        </is>
      </c>
      <c r="H9" s="10" t="inlineStr">
        <is>
          <t>0</t>
        </is>
      </c>
      <c r="I9" s="10" t="inlineStr">
        <is>
          <t>No NPI rows</t>
        </is>
      </c>
      <c r="J9" s="10" t="inlineStr">
        <is>
          <t>No NPI uplift applied — acceptable only if no NPIs planned</t>
        </is>
      </c>
      <c r="K9" s="10" t="inlineStr">
        <is>
          <t>launch_month, chain_name, ean, initial_fill_qty, approval_status</t>
        </is>
      </c>
      <c r="L9" s="10" t="inlineStr">
        <is>
          <t>Aug–Oct 2026 NPIs only. APPROVED rows only affect forecast.</t>
        </is>
      </c>
    </row>
    <row r="10" ht="36" customHeight="1">
      <c r="A10" s="8" t="inlineStr">
        <is>
          <t>targets.csv</t>
        </is>
      </c>
      <c r="B10" s="8" t="inlineStr">
        <is>
          <t>Sales Planning + KAM</t>
        </is>
      </c>
      <c r="C10" s="8" t="inlineStr">
        <is>
          <t>MT Head / Finance</t>
        </is>
      </c>
      <c r="D10" s="8" t="inlineStr">
        <is>
          <t>2026-08-08</t>
        </is>
      </c>
      <c r="E10" s="11" t="inlineStr">
        <is>
          <t>MISSING</t>
        </is>
      </c>
      <c r="F10" s="8" t="inlineStr">
        <is>
          <t>P1</t>
        </is>
      </c>
      <c r="G10" s="8" t="inlineStr">
        <is>
          <t>0</t>
        </is>
      </c>
      <c r="H10" s="8" t="inlineStr">
        <is>
          <t>0</t>
        </is>
      </c>
      <c r="I10" s="8" t="inlineStr">
        <is>
          <t>No targets loaded</t>
        </is>
      </c>
      <c r="J10" s="8" t="inlineStr">
        <is>
          <t>MOST CRITICAL — forecast cannot be compared to plan without this</t>
        </is>
      </c>
      <c r="K10" s="8" t="inlineStr">
        <is>
          <t>month, chain_name, brand, article, ean, target_qty, target_nsv</t>
        </is>
      </c>
      <c r="L10" s="8" t="inlineStr">
        <is>
          <t>Start with Aug–Oct 2026 at Chain × Brand × EAN grain.</t>
        </is>
      </c>
    </row>
    <row r="11" ht="36" customHeight="1">
      <c r="A11" s="10" t="inlineStr">
        <is>
          <t>fact_margin.csv (DERIVED)</t>
        </is>
      </c>
      <c r="B11" s="10" t="inlineStr">
        <is>
          <t>Finance</t>
        </is>
      </c>
      <c r="C11" s="10" t="inlineStr">
        <is>
          <t>Finance Controller</t>
        </is>
      </c>
      <c r="D11" s="10" t="inlineStr">
        <is>
          <t>2026-08-20</t>
        </is>
      </c>
      <c r="E11" s="9" t="inlineStr">
        <is>
          <t>PENDING_APPROVAL</t>
        </is>
      </c>
      <c r="F11" s="10" t="inlineStr">
        <is>
          <t>P2</t>
        </is>
      </c>
      <c r="G11" s="10" t="inlineStr">
        <is>
          <t>2113</t>
        </is>
      </c>
      <c r="H11" s="10" t="inlineStr">
        <is>
          <t>0</t>
        </is>
      </c>
      <c r="I11" s="10" t="inlineStr">
        <is>
          <t>0 / 2113 Finance-approved</t>
        </is>
      </c>
      <c r="J11" s="10" t="inlineStr">
        <is>
          <t>CM2 reporting BLOCKED until Finance approves</t>
        </is>
      </c>
      <c r="K11" s="10" t="inlineStr">
        <is>
          <t>cogs_per_unit, ba_cost_per_unit, visibility_cost_per_unit, approval_status=FINANCE_APPROVED</t>
        </is>
      </c>
      <c r="L11" s="10" t="inlineStr">
        <is>
          <t>2113 rows derived from offtake. Directional only — NOT Finance-approved.</t>
        </is>
      </c>
    </row>
    <row r="12" ht="36" customHeight="1">
      <c r="A12" s="8" t="inlineStr">
        <is>
          <t>fact_margin.csv (ESTIMATED)</t>
        </is>
      </c>
      <c r="B12" s="8" t="inlineStr">
        <is>
          <t>Finance + Category</t>
        </is>
      </c>
      <c r="C12" s="8" t="inlineStr">
        <is>
          <t>Finance Controller</t>
        </is>
      </c>
      <c r="D12" s="8" t="inlineStr">
        <is>
          <t>2026-08-20</t>
        </is>
      </c>
      <c r="E12" s="11" t="inlineStr">
        <is>
          <t>BLOCKED</t>
        </is>
      </c>
      <c r="F12" s="8" t="inlineStr">
        <is>
          <t>P1</t>
        </is>
      </c>
      <c r="G12" s="8" t="inlineStr">
        <is>
          <t>933</t>
        </is>
      </c>
      <c r="H12" s="8" t="inlineStr">
        <is>
          <t>0</t>
        </is>
      </c>
      <c r="I12" s="8" t="inlineStr">
        <is>
          <t>0 / 933 validated</t>
        </is>
      </c>
      <c r="J12" s="8" t="inlineStr">
        <is>
          <t>933 EANs carry placeholder MRP=250, margin=30%, cm2=15%</t>
        </is>
      </c>
      <c r="K12" s="8" t="inlineStr">
        <is>
          <t>Real MRP, GST%, TOT%, margin_pct, cogs_per_unit per EAN</t>
        </is>
      </c>
      <c r="L12" s="8" t="inlineStr">
        <is>
          <t>Primary-only EANs not in offtake. All values are estimates.</t>
        </is>
      </c>
    </row>
    <row r="13" ht="36" customHeight="1">
      <c r="A13" s="10" t="inlineStr">
        <is>
          <t>fact_margin.csv — DATA ISSUE</t>
        </is>
      </c>
      <c r="B13" s="10" t="inlineStr">
        <is>
          <t>MDM / Finance</t>
        </is>
      </c>
      <c r="C13" s="10" t="inlineStr">
        <is>
          <t>Finance Controller</t>
        </is>
      </c>
      <c r="D13" s="10" t="inlineStr">
        <is>
          <t>2026-08-08</t>
        </is>
      </c>
      <c r="E13" s="11" t="inlineStr">
        <is>
          <t>BLOCKED</t>
        </is>
      </c>
      <c r="F13" s="10" t="inlineStr">
        <is>
          <t>P1</t>
        </is>
      </c>
      <c r="G13" s="10" t="inlineStr">
        <is>
          <t>2</t>
        </is>
      </c>
      <c r="H13" s="10" t="inlineStr">
        <is>
          <t>0</t>
        </is>
      </c>
      <c r="I13" s="10" t="inlineStr">
        <is>
          <t>VMM chain, 2 rows</t>
        </is>
      </c>
      <c r="J13" s="10" t="inlineStr">
        <is>
          <t>2 rows with negative margin_pct = -84.64 (likely credit memo / return)</t>
        </is>
      </c>
      <c r="K13" s="10" t="inlineStr">
        <is>
          <t>EANs: 8904417314298, 8904417312546 — Rice Dewy Bright Face Wash, Vitamin C Face Wash</t>
        </is>
      </c>
      <c r="L13" s="10" t="inlineStr">
        <is>
          <t>Reclassify as return record or exclude from margin master.</t>
        </is>
      </c>
    </row>
    <row r="14" ht="36" customHeight="1">
      <c r="A14" s="8" t="inlineStr">
        <is>
          <t>primary_history.csv</t>
        </is>
      </c>
      <c r="B14" s="8" t="inlineStr">
        <is>
          <t>SAP / Data Team</t>
        </is>
      </c>
      <c r="C14" s="8" t="inlineStr">
        <is>
          <t>Demand Planning</t>
        </is>
      </c>
      <c r="D14" s="8" t="inlineStr">
        <is>
          <t>COMPLETE</t>
        </is>
      </c>
      <c r="E14" s="12" t="inlineStr">
        <is>
          <t>APPROVED</t>
        </is>
      </c>
      <c r="F14" s="8" t="inlineStr">
        <is>
          <t>—</t>
        </is>
      </c>
      <c r="G14" s="8" t="inlineStr">
        <is>
          <t>~35k</t>
        </is>
      </c>
      <c r="H14" s="8" t="inlineStr">
        <is>
          <t>~35k</t>
        </is>
      </c>
      <c r="I14" s="8" t="inlineStr">
        <is>
          <t>FY27 Apr–May 2026 ✓</t>
        </is>
      </c>
      <c r="J14" s="8" t="inlineStr">
        <is>
          <t>None</t>
        </is>
      </c>
      <c r="K14" s="8" t="inlineStr">
        <is>
          <t>None</t>
        </is>
      </c>
      <c r="L14" s="8" t="inlineStr">
        <is>
          <t>Assembled and validated. Grain: month × chain_name × ean.</t>
        </is>
      </c>
    </row>
    <row r="15" ht="36" customHeight="1">
      <c r="A15" s="10" t="inlineStr">
        <is>
          <t>offtake_history.csv</t>
        </is>
      </c>
      <c r="B15" s="10" t="inlineStr">
        <is>
          <t>Distributor / Ops</t>
        </is>
      </c>
      <c r="C15" s="10" t="inlineStr">
        <is>
          <t>Demand Planning</t>
        </is>
      </c>
      <c r="D15" s="10" t="inlineStr">
        <is>
          <t>COMPLETE</t>
        </is>
      </c>
      <c r="E15" s="12" t="inlineStr">
        <is>
          <t>APPROVED</t>
        </is>
      </c>
      <c r="F15" s="10" t="inlineStr">
        <is>
          <t>—</t>
        </is>
      </c>
      <c r="G15" s="10" t="inlineStr">
        <is>
          <t>~9.7k</t>
        </is>
      </c>
      <c r="H15" s="10" t="inlineStr">
        <is>
          <t>~9.7k</t>
        </is>
      </c>
      <c r="I15" s="10" t="inlineStr">
        <is>
          <t>Apr–May 2026 (2 months only)</t>
        </is>
      </c>
      <c r="J15" s="10" t="inlineStr">
        <is>
          <t>Only 2 months limits YoY backtesting</t>
        </is>
      </c>
      <c r="K15" s="10" t="inlineStr">
        <is>
          <t>More months needed for YoY trend accuracy</t>
        </is>
      </c>
      <c r="L15" s="10" t="inlineStr">
        <is>
          <t>5 unmapped EANs remain — see UNMAPPED_EANS sheet.</t>
        </is>
      </c>
    </row>
  </sheetData>
  <autoFilter ref="A7:L15"/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14" customWidth="1" min="8" max="8"/>
    <col width="18" customWidth="1" min="9" max="9"/>
    <col width="13" customWidth="1" min="10" max="10"/>
    <col width="22" customWidth="1" min="11" max="11"/>
    <col width="18" customWidth="1" min="12" max="12"/>
    <col width="15" customWidth="1" min="13" max="13"/>
    <col width="13" customWidth="1" min="14" max="14"/>
    <col width="18" customWidth="1" min="15" max="15"/>
    <col width="13" customWidth="1" min="16" max="16"/>
    <col width="12" customWidth="1" min="17" max="17"/>
    <col width="28" customWidth="1" min="18" max="18"/>
    <col width="26" customWidth="1" min="19" max="19"/>
  </cols>
  <sheetData>
    <row r="1" ht="24" customHeight="1">
      <c r="A1" s="13" t="inlineStr">
        <is>
          <t>EVENT UPLIFT APPROVAL — FY27  |  Yellow = business fills  |  Formula cols auto-validate</t>
        </is>
      </c>
    </row>
    <row r="2" ht="20" customHeight="1">
      <c r="A2" s="14" t="inlineStr">
        <is>
          <t>RULE: Engine uses base_pct from col I for production. Provide all three: Conservative (H), Base (I), Stretch (J). Set approval_status (col L) = APPROVED only after business sign-off. Validation (col S) auto-checks all required fields are filled.</t>
        </is>
      </c>
    </row>
    <row r="3" ht="48" customHeight="1">
      <c r="A3" s="7" t="inlineStr">
        <is>
          <t>event_name</t>
        </is>
      </c>
      <c r="B3" s="7" t="inlineStr">
        <is>
          <t>event_type</t>
        </is>
      </c>
      <c r="C3" s="7" t="inlineStr">
        <is>
          <t>forecast_month</t>
        </is>
      </c>
      <c r="D3" s="7" t="inlineStr">
        <is>
          <t>chain_filter</t>
        </is>
      </c>
      <c r="E3" s="7" t="inlineStr">
        <is>
          <t>brand_filter</t>
        </is>
      </c>
      <c r="F3" s="7" t="inlineStr">
        <is>
          <t>article_filter</t>
        </is>
      </c>
      <c r="G3" s="7" t="inlineStr">
        <is>
          <t>current_uplift_pct
(PLACEHOLDER)</t>
        </is>
      </c>
      <c r="H3" s="7" t="inlineStr">
        <is>
          <t>conservative_pct
◀ fill</t>
        </is>
      </c>
      <c r="I3" s="7" t="inlineStr">
        <is>
          <t>base_pct
◀ fill — used in forecast</t>
        </is>
      </c>
      <c r="J3" s="7" t="inlineStr">
        <is>
          <t>stretch_pct
◀ fill</t>
        </is>
      </c>
      <c r="K3" s="7" t="inlineStr">
        <is>
          <t>basis
(Historical / Plan / Estimate) ◀ fill</t>
        </is>
      </c>
      <c r="L3" s="7" t="inlineStr">
        <is>
          <t>approval_status
◀ set APPROVED after sign-off</t>
        </is>
      </c>
      <c r="M3" s="7" t="inlineStr">
        <is>
          <t>approved_by</t>
        </is>
      </c>
      <c r="N3" s="7" t="inlineStr">
        <is>
          <t>approved_date</t>
        </is>
      </c>
      <c r="O3" s="7" t="inlineStr">
        <is>
          <t>business_owner</t>
        </is>
      </c>
      <c r="P3" s="7" t="inlineStr">
        <is>
          <t>reviewer</t>
        </is>
      </c>
      <c r="Q3" s="7" t="inlineStr">
        <is>
          <t>due_date</t>
        </is>
      </c>
      <c r="R3" s="7" t="inlineStr">
        <is>
          <t>comments</t>
        </is>
      </c>
      <c r="S3" s="7" t="inlineStr">
        <is>
          <t>VALIDATION
(formula)</t>
        </is>
      </c>
    </row>
    <row r="4" ht="22" customHeight="1">
      <c r="A4" s="8" t="inlineStr">
        <is>
          <t>Independence_Day</t>
        </is>
      </c>
      <c r="B4" s="8" t="inlineStr">
        <is>
          <t>national_holiday</t>
        </is>
      </c>
      <c r="C4" s="8" t="inlineStr">
        <is>
          <t>2026-08</t>
        </is>
      </c>
      <c r="D4" s="8" t="inlineStr">
        <is>
          <t>ALL</t>
        </is>
      </c>
      <c r="E4" s="8" t="inlineStr">
        <is>
          <t>ALL</t>
        </is>
      </c>
      <c r="F4" s="8" t="inlineStr">
        <is>
          <t>ALL</t>
        </is>
      </c>
      <c r="G4" s="8" t="inlineStr">
        <is>
          <t>10.0</t>
        </is>
      </c>
      <c r="H4" s="15" t="inlineStr"/>
      <c r="I4" s="15" t="inlineStr"/>
      <c r="J4" s="15" t="inlineStr"/>
      <c r="K4" s="15" t="inlineStr"/>
      <c r="L4" s="9" t="inlineStr">
        <is>
          <t>PENDING_APPROVAL</t>
        </is>
      </c>
      <c r="M4" s="15" t="inlineStr"/>
      <c r="N4" s="15" t="inlineStr"/>
      <c r="O4" s="8" t="inlineStr">
        <is>
          <t>Marketing / KAM</t>
        </is>
      </c>
      <c r="P4" s="8" t="inlineStr">
        <is>
          <t>MT Head</t>
        </is>
      </c>
      <c r="Q4" s="8" t="inlineStr">
        <is>
          <t>2026-08-10</t>
        </is>
      </c>
      <c r="R4" s="8" t="inlineStr">
        <is>
          <t>Patriotic buying surge — Aug 15</t>
        </is>
      </c>
      <c r="S4" s="8">
        <f>IF(I4="","⚠ Base uplift required",IF(AND(H4="",J4=""),"⚠ Add C &amp; S variants",IF(AND(ISNUMBER(VALUE(H4)),ISNUMBER(VALUE(I4)),ISNUMBER(VALUE(J4))),IF(AND(VALUE(H4)&lt;=VALUE(I4),VALUE(I4)&lt;=VALUE(J4)),IF(L4="APPROVED","✓ APPROVED","Ready — set col L = APPROVED"),"✗ Must be C ≤ Base ≤ S"),"✗ Non-numeric uplift")))</f>
        <v/>
      </c>
    </row>
    <row r="5" ht="22" customHeight="1">
      <c r="A5" s="10" t="inlineStr">
        <is>
          <t>Raksha_Bandhan</t>
        </is>
      </c>
      <c r="B5" s="10" t="inlineStr">
        <is>
          <t>festival</t>
        </is>
      </c>
      <c r="C5" s="10" t="inlineStr">
        <is>
          <t>2026-08</t>
        </is>
      </c>
      <c r="D5" s="10" t="inlineStr">
        <is>
          <t>ALL</t>
        </is>
      </c>
      <c r="E5" s="10" t="inlineStr">
        <is>
          <t>ALL</t>
        </is>
      </c>
      <c r="F5" s="10" t="inlineStr">
        <is>
          <t>ALL</t>
        </is>
      </c>
      <c r="G5" s="10" t="inlineStr">
        <is>
          <t>15.0</t>
        </is>
      </c>
      <c r="H5" s="15" t="inlineStr"/>
      <c r="I5" s="15" t="inlineStr"/>
      <c r="J5" s="15" t="inlineStr"/>
      <c r="K5" s="15" t="inlineStr"/>
      <c r="L5" s="9" t="inlineStr">
        <is>
          <t>PENDING_APPROVAL</t>
        </is>
      </c>
      <c r="M5" s="15" t="inlineStr"/>
      <c r="N5" s="15" t="inlineStr"/>
      <c r="O5" s="10" t="inlineStr">
        <is>
          <t>Marketing / KAM</t>
        </is>
      </c>
      <c r="P5" s="10" t="inlineStr">
        <is>
          <t>MT Head</t>
        </is>
      </c>
      <c r="Q5" s="10" t="inlineStr">
        <is>
          <t>2026-08-10</t>
        </is>
      </c>
      <c r="R5" s="10" t="inlineStr">
        <is>
          <t>Gifting season — approx Aug 29 2026</t>
        </is>
      </c>
      <c r="S5" s="10">
        <f>IF(I5="","⚠ Base uplift required",IF(AND(H5="",J5=""),"⚠ Add C &amp; S variants",IF(AND(ISNUMBER(VALUE(H5)),ISNUMBER(VALUE(I5)),ISNUMBER(VALUE(J5))),IF(AND(VALUE(H5)&lt;=VALUE(I5),VALUE(I5)&lt;=VALUE(J5)),IF(L5="APPROVED","✓ APPROVED","Ready — set col L = APPROVED"),"✗ Must be C ≤ Base ≤ S"),"✗ Non-numeric uplift")))</f>
        <v/>
      </c>
    </row>
    <row r="6" ht="22" customHeight="1">
      <c r="A6" s="8" t="inlineStr">
        <is>
          <t>Navratri</t>
        </is>
      </c>
      <c r="B6" s="8" t="inlineStr">
        <is>
          <t>festival</t>
        </is>
      </c>
      <c r="C6" s="8" t="inlineStr">
        <is>
          <t>2026-10</t>
        </is>
      </c>
      <c r="D6" s="8" t="inlineStr">
        <is>
          <t>ALL</t>
        </is>
      </c>
      <c r="E6" s="8" t="inlineStr">
        <is>
          <t>ALL</t>
        </is>
      </c>
      <c r="F6" s="8" t="inlineStr">
        <is>
          <t>ALL</t>
        </is>
      </c>
      <c r="G6" s="8" t="inlineStr">
        <is>
          <t>20.0</t>
        </is>
      </c>
      <c r="H6" s="15" t="inlineStr"/>
      <c r="I6" s="15" t="inlineStr"/>
      <c r="J6" s="15" t="inlineStr"/>
      <c r="K6" s="15" t="inlineStr"/>
      <c r="L6" s="9" t="inlineStr">
        <is>
          <t>PENDING_APPROVAL</t>
        </is>
      </c>
      <c r="M6" s="15" t="inlineStr"/>
      <c r="N6" s="15" t="inlineStr"/>
      <c r="O6" s="8" t="inlineStr">
        <is>
          <t>Marketing / KAM</t>
        </is>
      </c>
      <c r="P6" s="8" t="inlineStr">
        <is>
          <t>MT Head</t>
        </is>
      </c>
      <c r="Q6" s="8" t="inlineStr">
        <is>
          <t>2026-08-10</t>
        </is>
      </c>
      <c r="R6" s="8" t="inlineStr">
        <is>
          <t>Nine nights — approx Oct 6-14 2026</t>
        </is>
      </c>
      <c r="S6" s="8">
        <f>IF(I6="","⚠ Base uplift required",IF(AND(H6="",J6=""),"⚠ Add C &amp; S variants",IF(AND(ISNUMBER(VALUE(H6)),ISNUMBER(VALUE(I6)),ISNUMBER(VALUE(J6))),IF(AND(VALUE(H6)&lt;=VALUE(I6),VALUE(I6)&lt;=VALUE(J6)),IF(L6="APPROVED","✓ APPROVED","Ready — set col L = APPROVED"),"✗ Must be C ≤ Base ≤ S"),"✗ Non-numeric uplift")))</f>
        <v/>
      </c>
    </row>
    <row r="7" ht="22" customHeight="1">
      <c r="A7" s="10" t="inlineStr">
        <is>
          <t>Dussehra</t>
        </is>
      </c>
      <c r="B7" s="10" t="inlineStr">
        <is>
          <t>festival</t>
        </is>
      </c>
      <c r="C7" s="10" t="inlineStr">
        <is>
          <t>2026-10</t>
        </is>
      </c>
      <c r="D7" s="10" t="inlineStr">
        <is>
          <t>ALL</t>
        </is>
      </c>
      <c r="E7" s="10" t="inlineStr">
        <is>
          <t>ALL</t>
        </is>
      </c>
      <c r="F7" s="10" t="inlineStr">
        <is>
          <t>ALL</t>
        </is>
      </c>
      <c r="G7" s="10" t="inlineStr">
        <is>
          <t>15.0</t>
        </is>
      </c>
      <c r="H7" s="15" t="inlineStr"/>
      <c r="I7" s="15" t="inlineStr"/>
      <c r="J7" s="15" t="inlineStr"/>
      <c r="K7" s="15" t="inlineStr"/>
      <c r="L7" s="9" t="inlineStr">
        <is>
          <t>PENDING_APPROVAL</t>
        </is>
      </c>
      <c r="M7" s="15" t="inlineStr"/>
      <c r="N7" s="15" t="inlineStr"/>
      <c r="O7" s="10" t="inlineStr">
        <is>
          <t>Marketing / KAM</t>
        </is>
      </c>
      <c r="P7" s="10" t="inlineStr">
        <is>
          <t>MT Head</t>
        </is>
      </c>
      <c r="Q7" s="10" t="inlineStr">
        <is>
          <t>2026-08-10</t>
        </is>
      </c>
      <c r="R7" s="10" t="inlineStr">
        <is>
          <t>Vijayadasami — approx Oct 15 2026</t>
        </is>
      </c>
      <c r="S7" s="10">
        <f>IF(I7="","⚠ Base uplift required",IF(AND(H7="",J7=""),"⚠ Add C &amp; S variants",IF(AND(ISNUMBER(VALUE(H7)),ISNUMBER(VALUE(I7)),ISNUMBER(VALUE(J7))),IF(AND(VALUE(H7)&lt;=VALUE(I7),VALUE(I7)&lt;=VALUE(J7)),IF(L7="APPROVED","✓ APPROVED","Ready — set col L = APPROVED"),"✗ Must be C ≤ Base ≤ S"),"✗ Non-numeric uplift")))</f>
        <v/>
      </c>
    </row>
    <row r="8" ht="22" customHeight="1">
      <c r="A8" s="8" t="inlineStr">
        <is>
          <t>Big_Billion_Days</t>
        </is>
      </c>
      <c r="B8" s="8" t="inlineStr">
        <is>
          <t>ecommerce_sale</t>
        </is>
      </c>
      <c r="C8" s="8" t="inlineStr">
        <is>
          <t>2026-10</t>
        </is>
      </c>
      <c r="D8" s="8" t="inlineStr">
        <is>
          <t>ALL</t>
        </is>
      </c>
      <c r="E8" s="8" t="inlineStr">
        <is>
          <t>ALL</t>
        </is>
      </c>
      <c r="F8" s="8" t="inlineStr">
        <is>
          <t>ALL</t>
        </is>
      </c>
      <c r="G8" s="8" t="inlineStr">
        <is>
          <t>25.0</t>
        </is>
      </c>
      <c r="H8" s="15" t="inlineStr"/>
      <c r="I8" s="15" t="inlineStr"/>
      <c r="J8" s="15" t="inlineStr"/>
      <c r="K8" s="15" t="inlineStr"/>
      <c r="L8" s="9" t="inlineStr">
        <is>
          <t>PENDING_APPROVAL</t>
        </is>
      </c>
      <c r="M8" s="15" t="inlineStr"/>
      <c r="N8" s="15" t="inlineStr"/>
      <c r="O8" s="8" t="inlineStr">
        <is>
          <t>Marketing / KAM</t>
        </is>
      </c>
      <c r="P8" s="8" t="inlineStr">
        <is>
          <t>MT Head</t>
        </is>
      </c>
      <c r="Q8" s="8" t="inlineStr">
        <is>
          <t>2026-08-10</t>
        </is>
      </c>
      <c r="R8" s="8" t="inlineStr">
        <is>
          <t>Flipkart annual sale — approx Oct 7-11 2026</t>
        </is>
      </c>
      <c r="S8" s="8">
        <f>IF(I8="","⚠ Base uplift required",IF(AND(H8="",J8=""),"⚠ Add C &amp; S variants",IF(AND(ISNUMBER(VALUE(H8)),ISNUMBER(VALUE(I8)),ISNUMBER(VALUE(J8))),IF(AND(VALUE(H8)&lt;=VALUE(I8),VALUE(I8)&lt;=VALUE(J8)),IF(L8="APPROVED","✓ APPROVED","Ready — set col L = APPROVED"),"✗ Must be C ≤ Base ≤ S"),"✗ Non-numeric uplift")))</f>
        <v/>
      </c>
    </row>
    <row r="9" ht="22" customHeight="1">
      <c r="A9" s="10" t="inlineStr">
        <is>
          <t>Great_Indian_Festival</t>
        </is>
      </c>
      <c r="B9" s="10" t="inlineStr">
        <is>
          <t>ecommerce_sale</t>
        </is>
      </c>
      <c r="C9" s="10" t="inlineStr">
        <is>
          <t>2026-10</t>
        </is>
      </c>
      <c r="D9" s="10" t="inlineStr">
        <is>
          <t>ALL</t>
        </is>
      </c>
      <c r="E9" s="10" t="inlineStr">
        <is>
          <t>ALL</t>
        </is>
      </c>
      <c r="F9" s="10" t="inlineStr">
        <is>
          <t>ALL</t>
        </is>
      </c>
      <c r="G9" s="10" t="inlineStr">
        <is>
          <t>25.0</t>
        </is>
      </c>
      <c r="H9" s="15" t="inlineStr"/>
      <c r="I9" s="15" t="inlineStr"/>
      <c r="J9" s="15" t="inlineStr"/>
      <c r="K9" s="15" t="inlineStr"/>
      <c r="L9" s="9" t="inlineStr">
        <is>
          <t>PENDING_APPROVAL</t>
        </is>
      </c>
      <c r="M9" s="15" t="inlineStr"/>
      <c r="N9" s="15" t="inlineStr"/>
      <c r="O9" s="10" t="inlineStr">
        <is>
          <t>Marketing / KAM</t>
        </is>
      </c>
      <c r="P9" s="10" t="inlineStr">
        <is>
          <t>MT Head</t>
        </is>
      </c>
      <c r="Q9" s="10" t="inlineStr">
        <is>
          <t>2026-08-10</t>
        </is>
      </c>
      <c r="R9" s="10" t="inlineStr">
        <is>
          <t>Amazon annual sale — approx Oct 7-11 2026</t>
        </is>
      </c>
      <c r="S9" s="10">
        <f>IF(I9="","⚠ Base uplift required",IF(AND(H9="",J9=""),"⚠ Add C &amp; S variants",IF(AND(ISNUMBER(VALUE(H9)),ISNUMBER(VALUE(I9)),ISNUMBER(VALUE(J9))),IF(AND(VALUE(H9)&lt;=VALUE(I9),VALUE(I9)&lt;=VALUE(J9)),IF(L9="APPROVED","✓ APPROVED","Ready — set col L = APPROVED"),"✗ Must be C ≤ Base ≤ S"),"✗ Non-numeric uplift")))</f>
        <v/>
      </c>
    </row>
    <row r="10" ht="22" customHeight="1">
      <c r="A10" s="8" t="inlineStr">
        <is>
          <t>Diwali</t>
        </is>
      </c>
      <c r="B10" s="8" t="inlineStr">
        <is>
          <t>festival</t>
        </is>
      </c>
      <c r="C10" s="8" t="inlineStr">
        <is>
          <t>2026-11</t>
        </is>
      </c>
      <c r="D10" s="8" t="inlineStr">
        <is>
          <t>ALL</t>
        </is>
      </c>
      <c r="E10" s="8" t="inlineStr">
        <is>
          <t>ALL</t>
        </is>
      </c>
      <c r="F10" s="8" t="inlineStr">
        <is>
          <t>ALL</t>
        </is>
      </c>
      <c r="G10" s="8" t="inlineStr">
        <is>
          <t>35.0</t>
        </is>
      </c>
      <c r="H10" s="15" t="inlineStr"/>
      <c r="I10" s="15" t="inlineStr"/>
      <c r="J10" s="15" t="inlineStr"/>
      <c r="K10" s="15" t="inlineStr"/>
      <c r="L10" s="9" t="inlineStr">
        <is>
          <t>PENDING_APPROVAL</t>
        </is>
      </c>
      <c r="M10" s="15" t="inlineStr"/>
      <c r="N10" s="15" t="inlineStr"/>
      <c r="O10" s="8" t="inlineStr">
        <is>
          <t>Marketing / KAM</t>
        </is>
      </c>
      <c r="P10" s="8" t="inlineStr">
        <is>
          <t>MT Head</t>
        </is>
      </c>
      <c r="Q10" s="8" t="inlineStr">
        <is>
          <t>2026-08-10</t>
        </is>
      </c>
      <c r="R10" s="8" t="inlineStr">
        <is>
          <t>Peak festive season — approx Nov 9 2026</t>
        </is>
      </c>
      <c r="S10" s="8">
        <f>IF(I10="","⚠ Base uplift required",IF(AND(H10="",J10=""),"⚠ Add C &amp; S variants",IF(AND(ISNUMBER(VALUE(H10)),ISNUMBER(VALUE(I10)),ISNUMBER(VALUE(J10))),IF(AND(VALUE(H10)&lt;=VALUE(I10),VALUE(I10)&lt;=VALUE(J10)),IF(L10="APPROVED","✓ APPROVED","Ready — set col L = APPROVED"),"✗ Must be C ≤ Base ≤ S"),"✗ Non-numeric uplift")))</f>
        <v/>
      </c>
    </row>
    <row r="11" ht="22" customHeight="1">
      <c r="A11" s="10" t="inlineStr">
        <is>
          <t>Childrens_Day</t>
        </is>
      </c>
      <c r="B11" s="10" t="inlineStr">
        <is>
          <t>national_holiday</t>
        </is>
      </c>
      <c r="C11" s="10" t="inlineStr">
        <is>
          <t>2026-11</t>
        </is>
      </c>
      <c r="D11" s="10" t="inlineStr">
        <is>
          <t>ALL</t>
        </is>
      </c>
      <c r="E11" s="10" t="inlineStr">
        <is>
          <t>ALL</t>
        </is>
      </c>
      <c r="F11" s="10" t="inlineStr">
        <is>
          <t>ALL</t>
        </is>
      </c>
      <c r="G11" s="10" t="inlineStr">
        <is>
          <t>5.0</t>
        </is>
      </c>
      <c r="H11" s="15" t="inlineStr"/>
      <c r="I11" s="15" t="inlineStr"/>
      <c r="J11" s="15" t="inlineStr"/>
      <c r="K11" s="15" t="inlineStr"/>
      <c r="L11" s="9" t="inlineStr">
        <is>
          <t>PENDING_APPROVAL</t>
        </is>
      </c>
      <c r="M11" s="15" t="inlineStr"/>
      <c r="N11" s="15" t="inlineStr"/>
      <c r="O11" s="10" t="inlineStr">
        <is>
          <t>Marketing / KAM</t>
        </is>
      </c>
      <c r="P11" s="10" t="inlineStr">
        <is>
          <t>MT Head</t>
        </is>
      </c>
      <c r="Q11" s="10" t="inlineStr">
        <is>
          <t>2026-08-10</t>
        </is>
      </c>
      <c r="R11" s="10" t="inlineStr">
        <is>
          <t>Minor uplift — Nov 14</t>
        </is>
      </c>
      <c r="S11" s="10">
        <f>IF(I11="","⚠ Base uplift required",IF(AND(H11="",J11=""),"⚠ Add C &amp; S variants",IF(AND(ISNUMBER(VALUE(H11)),ISNUMBER(VALUE(I11)),ISNUMBER(VALUE(J11))),IF(AND(VALUE(H11)&lt;=VALUE(I11),VALUE(I11)&lt;=VALUE(J11)),IF(L11="APPROVED","✓ APPROVED","Ready — set col L = APPROVED"),"✗ Must be C ≤ Base ≤ S"),"✗ Non-numeric uplift")))</f>
        <v/>
      </c>
    </row>
    <row r="12" ht="22" customHeight="1">
      <c r="A12" s="8" t="inlineStr">
        <is>
          <t>Christmas</t>
        </is>
      </c>
      <c r="B12" s="8" t="inlineStr">
        <is>
          <t>festival</t>
        </is>
      </c>
      <c r="C12" s="8" t="inlineStr">
        <is>
          <t>2026-12</t>
        </is>
      </c>
      <c r="D12" s="8" t="inlineStr">
        <is>
          <t>ALL</t>
        </is>
      </c>
      <c r="E12" s="8" t="inlineStr">
        <is>
          <t>ALL</t>
        </is>
      </c>
      <c r="F12" s="8" t="inlineStr">
        <is>
          <t>ALL</t>
        </is>
      </c>
      <c r="G12" s="8" t="inlineStr">
        <is>
          <t>15.0</t>
        </is>
      </c>
      <c r="H12" s="15" t="inlineStr"/>
      <c r="I12" s="15" t="inlineStr"/>
      <c r="J12" s="15" t="inlineStr"/>
      <c r="K12" s="15" t="inlineStr"/>
      <c r="L12" s="9" t="inlineStr">
        <is>
          <t>PENDING_APPROVAL</t>
        </is>
      </c>
      <c r="M12" s="15" t="inlineStr"/>
      <c r="N12" s="15" t="inlineStr"/>
      <c r="O12" s="8" t="inlineStr">
        <is>
          <t>Marketing / KAM</t>
        </is>
      </c>
      <c r="P12" s="8" t="inlineStr">
        <is>
          <t>MT Head</t>
        </is>
      </c>
      <c r="Q12" s="8" t="inlineStr">
        <is>
          <t>2026-08-10</t>
        </is>
      </c>
      <c r="R12" s="8" t="inlineStr">
        <is>
          <t>Year-end gifting — Dec 25</t>
        </is>
      </c>
      <c r="S12" s="8">
        <f>IF(I12="","⚠ Base uplift required",IF(AND(H12="",J12=""),"⚠ Add C &amp; S variants",IF(AND(ISNUMBER(VALUE(H12)),ISNUMBER(VALUE(I12)),ISNUMBER(VALUE(J12))),IF(AND(VALUE(H12)&lt;=VALUE(I12),VALUE(I12)&lt;=VALUE(J12)),IF(L12="APPROVED","✓ APPROVED","Ready — set col L = APPROVED"),"✗ Must be C ≤ Base ≤ S"),"✗ Non-numeric uplift")))</f>
        <v/>
      </c>
    </row>
    <row r="13" ht="22" customHeight="1">
      <c r="A13" s="10" t="inlineStr">
        <is>
          <t>New_Year</t>
        </is>
      </c>
      <c r="B13" s="10" t="inlineStr">
        <is>
          <t>festival</t>
        </is>
      </c>
      <c r="C13" s="10" t="inlineStr">
        <is>
          <t>2027-01</t>
        </is>
      </c>
      <c r="D13" s="10" t="inlineStr">
        <is>
          <t>ALL</t>
        </is>
      </c>
      <c r="E13" s="10" t="inlineStr">
        <is>
          <t>ALL</t>
        </is>
      </c>
      <c r="F13" s="10" t="inlineStr">
        <is>
          <t>ALL</t>
        </is>
      </c>
      <c r="G13" s="10" t="inlineStr">
        <is>
          <t>20.0</t>
        </is>
      </c>
      <c r="H13" s="15" t="inlineStr"/>
      <c r="I13" s="15" t="inlineStr"/>
      <c r="J13" s="15" t="inlineStr"/>
      <c r="K13" s="15" t="inlineStr"/>
      <c r="L13" s="9" t="inlineStr">
        <is>
          <t>PENDING_APPROVAL</t>
        </is>
      </c>
      <c r="M13" s="15" t="inlineStr"/>
      <c r="N13" s="15" t="inlineStr"/>
      <c r="O13" s="10" t="inlineStr">
        <is>
          <t>Marketing / KAM</t>
        </is>
      </c>
      <c r="P13" s="10" t="inlineStr">
        <is>
          <t>MT Head</t>
        </is>
      </c>
      <c r="Q13" s="10" t="inlineStr">
        <is>
          <t>2026-08-10</t>
        </is>
      </c>
      <c r="R13" s="10" t="inlineStr">
        <is>
          <t>New Year celebration — Jan 1 2027</t>
        </is>
      </c>
      <c r="S13" s="10">
        <f>IF(I13="","⚠ Base uplift required",IF(AND(H13="",J13=""),"⚠ Add C &amp; S variants",IF(AND(ISNUMBER(VALUE(H13)),ISNUMBER(VALUE(I13)),ISNUMBER(VALUE(J13))),IF(AND(VALUE(H13)&lt;=VALUE(I13),VALUE(I13)&lt;=VALUE(J13)),IF(L13="APPROVED","✓ APPROVED","Ready — set col L = APPROVED"),"✗ Must be C ≤ Base ≤ S"),"✗ Non-numeric uplift")))</f>
        <v/>
      </c>
    </row>
    <row r="14" ht="22" customHeight="1">
      <c r="A14" s="8" t="inlineStr">
        <is>
          <t>Makar_Sankranti</t>
        </is>
      </c>
      <c r="B14" s="8" t="inlineStr">
        <is>
          <t>festival</t>
        </is>
      </c>
      <c r="C14" s="8" t="inlineStr">
        <is>
          <t>2027-01</t>
        </is>
      </c>
      <c r="D14" s="8" t="inlineStr">
        <is>
          <t>ALL</t>
        </is>
      </c>
      <c r="E14" s="8" t="inlineStr">
        <is>
          <t>ALL</t>
        </is>
      </c>
      <c r="F14" s="8" t="inlineStr">
        <is>
          <t>ALL</t>
        </is>
      </c>
      <c r="G14" s="8" t="inlineStr">
        <is>
          <t>10.0</t>
        </is>
      </c>
      <c r="H14" s="15" t="inlineStr"/>
      <c r="I14" s="15" t="inlineStr"/>
      <c r="J14" s="15" t="inlineStr"/>
      <c r="K14" s="15" t="inlineStr"/>
      <c r="L14" s="9" t="inlineStr">
        <is>
          <t>PENDING_APPROVAL</t>
        </is>
      </c>
      <c r="M14" s="15" t="inlineStr"/>
      <c r="N14" s="15" t="inlineStr"/>
      <c r="O14" s="8" t="inlineStr">
        <is>
          <t>Marketing / KAM</t>
        </is>
      </c>
      <c r="P14" s="8" t="inlineStr">
        <is>
          <t>MT Head</t>
        </is>
      </c>
      <c r="Q14" s="8" t="inlineStr">
        <is>
          <t>2026-08-10</t>
        </is>
      </c>
      <c r="R14" s="8" t="inlineStr">
        <is>
          <t>Harvest festival — Jan 14 2027</t>
        </is>
      </c>
      <c r="S14" s="8">
        <f>IF(I14="","⚠ Base uplift required",IF(AND(H14="",J14=""),"⚠ Add C &amp; S variants",IF(AND(ISNUMBER(VALUE(H14)),ISNUMBER(VALUE(I14)),ISNUMBER(VALUE(J14))),IF(AND(VALUE(H14)&lt;=VALUE(I14),VALUE(I14)&lt;=VALUE(J14)),IF(L14="APPROVED","✓ APPROVED","Ready — set col L = APPROVED"),"✗ Must be C ≤ Base ≤ S"),"✗ Non-numeric uplift")))</f>
        <v/>
      </c>
    </row>
    <row r="15" ht="22" customHeight="1">
      <c r="A15" s="10" t="inlineStr">
        <is>
          <t>Republic_Day</t>
        </is>
      </c>
      <c r="B15" s="10" t="inlineStr">
        <is>
          <t>national_holiday</t>
        </is>
      </c>
      <c r="C15" s="10" t="inlineStr">
        <is>
          <t>2027-01</t>
        </is>
      </c>
      <c r="D15" s="10" t="inlineStr">
        <is>
          <t>ALL</t>
        </is>
      </c>
      <c r="E15" s="10" t="inlineStr">
        <is>
          <t>ALL</t>
        </is>
      </c>
      <c r="F15" s="10" t="inlineStr">
        <is>
          <t>ALL</t>
        </is>
      </c>
      <c r="G15" s="10" t="inlineStr">
        <is>
          <t>8.0</t>
        </is>
      </c>
      <c r="H15" s="15" t="inlineStr"/>
      <c r="I15" s="15" t="inlineStr"/>
      <c r="J15" s="15" t="inlineStr"/>
      <c r="K15" s="15" t="inlineStr"/>
      <c r="L15" s="9" t="inlineStr">
        <is>
          <t>PENDING_APPROVAL</t>
        </is>
      </c>
      <c r="M15" s="15" t="inlineStr"/>
      <c r="N15" s="15" t="inlineStr"/>
      <c r="O15" s="10" t="inlineStr">
        <is>
          <t>Marketing / KAM</t>
        </is>
      </c>
      <c r="P15" s="10" t="inlineStr">
        <is>
          <t>MT Head</t>
        </is>
      </c>
      <c r="Q15" s="10" t="inlineStr">
        <is>
          <t>2026-08-10</t>
        </is>
      </c>
      <c r="R15" s="10" t="inlineStr">
        <is>
          <t>National day — Jan 26 2027</t>
        </is>
      </c>
      <c r="S15" s="10">
        <f>IF(I15="","⚠ Base uplift required",IF(AND(H15="",J15=""),"⚠ Add C &amp; S variants",IF(AND(ISNUMBER(VALUE(H15)),ISNUMBER(VALUE(I15)),ISNUMBER(VALUE(J15))),IF(AND(VALUE(H15)&lt;=VALUE(I15),VALUE(I15)&lt;=VALUE(J15)),IF(L15="APPROVED","✓ APPROVED","Ready — set col L = APPROVED"),"✗ Must be C ≤ Base ≤ S"),"✗ Non-numeric uplift")))</f>
        <v/>
      </c>
    </row>
    <row r="16" ht="22" customHeight="1">
      <c r="A16" s="8" t="inlineStr">
        <is>
          <t>Holi</t>
        </is>
      </c>
      <c r="B16" s="8" t="inlineStr">
        <is>
          <t>festival</t>
        </is>
      </c>
      <c r="C16" s="8" t="inlineStr">
        <is>
          <t>2027-03</t>
        </is>
      </c>
      <c r="D16" s="8" t="inlineStr">
        <is>
          <t>ALL</t>
        </is>
      </c>
      <c r="E16" s="8" t="inlineStr">
        <is>
          <t>ALL</t>
        </is>
      </c>
      <c r="F16" s="8" t="inlineStr">
        <is>
          <t>ALL</t>
        </is>
      </c>
      <c r="G16" s="8" t="inlineStr">
        <is>
          <t>25.0</t>
        </is>
      </c>
      <c r="H16" s="15" t="inlineStr"/>
      <c r="I16" s="15" t="inlineStr"/>
      <c r="J16" s="15" t="inlineStr"/>
      <c r="K16" s="15" t="inlineStr"/>
      <c r="L16" s="9" t="inlineStr">
        <is>
          <t>PENDING_APPROVAL</t>
        </is>
      </c>
      <c r="M16" s="15" t="inlineStr"/>
      <c r="N16" s="15" t="inlineStr"/>
      <c r="O16" s="8" t="inlineStr">
        <is>
          <t>Marketing / KAM</t>
        </is>
      </c>
      <c r="P16" s="8" t="inlineStr">
        <is>
          <t>MT Head</t>
        </is>
      </c>
      <c r="Q16" s="8" t="inlineStr">
        <is>
          <t>2026-08-10</t>
        </is>
      </c>
      <c r="R16" s="8" t="inlineStr">
        <is>
          <t>Spring festival — approx Mar 21 2027</t>
        </is>
      </c>
      <c r="S16" s="8">
        <f>IF(I16="","⚠ Base uplift required",IF(AND(H16="",J16=""),"⚠ Add C &amp; S variants",IF(AND(ISNUMBER(VALUE(H16)),ISNUMBER(VALUE(I16)),ISNUMBER(VALUE(J16))),IF(AND(VALUE(H16)&lt;=VALUE(I16),VALUE(I16)&lt;=VALUE(J16)),IF(L16="APPROVED","✓ APPROVED","Ready — set col L = APPROVED"),"✗ Must be C ≤ Base ≤ S"),"✗ Non-numeric uplift")))</f>
        <v/>
      </c>
    </row>
    <row r="18" ht="20" customHeight="1">
      <c r="A18" s="3" t="inlineStr">
        <is>
          <t>APPROVAL PROGRESS (live formula summary)</t>
        </is>
      </c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16" t="n"/>
    </row>
    <row r="19" ht="24" customHeight="1">
      <c r="A19" s="4" t="inlineStr">
        <is>
          <t>Total Events</t>
        </is>
      </c>
      <c r="B19" s="16" t="n"/>
      <c r="D19" s="4" t="inlineStr">
        <is>
          <t>Approved</t>
        </is>
      </c>
      <c r="E19" s="16" t="n"/>
      <c r="G19" s="4" t="inlineStr">
        <is>
          <t>Pending</t>
        </is>
      </c>
      <c r="H19" s="16" t="n"/>
      <c r="J19" s="4" t="inlineStr">
        <is>
          <t>With base_pct filled</t>
        </is>
      </c>
      <c r="K19" s="16" t="n"/>
      <c r="M19" s="4" t="inlineStr">
        <is>
          <t>Events in Aug</t>
        </is>
      </c>
      <c r="N19" s="16" t="n"/>
      <c r="P19" s="4" t="inlineStr">
        <is>
          <t>Events in Oct</t>
        </is>
      </c>
      <c r="Q19" s="16" t="n"/>
    </row>
    <row r="20" ht="30" customHeight="1">
      <c r="A20" s="17">
        <f>COUNTA(A4:A16)</f>
        <v/>
      </c>
      <c r="B20" s="16" t="n"/>
      <c r="D20" s="17">
        <f>COUNTIF(L4:L16,"APPROVED")</f>
        <v/>
      </c>
      <c r="E20" s="16" t="n"/>
      <c r="G20" s="17">
        <f>COUNTIF(L4:L16,"PENDING_APPROVAL")</f>
        <v/>
      </c>
      <c r="H20" s="16" t="n"/>
      <c r="J20" s="17">
        <f>COUNTA(I4:I16)</f>
        <v/>
      </c>
      <c r="K20" s="16" t="n"/>
      <c r="M20" s="17">
        <f>COUNTIF(C4:C16,"2026-08")</f>
        <v/>
      </c>
      <c r="N20" s="16" t="n"/>
      <c r="P20" s="17">
        <f>COUNTIF(C4:C16,"2026-10")</f>
        <v/>
      </c>
      <c r="Q20" s="16" t="n"/>
    </row>
  </sheetData>
  <autoFilter ref="A3:S16"/>
  <mergeCells count="15">
    <mergeCell ref="D20:E20"/>
    <mergeCell ref="A20:B20"/>
    <mergeCell ref="G20:H20"/>
    <mergeCell ref="J20:K20"/>
    <mergeCell ref="M20:N20"/>
    <mergeCell ref="D19:E19"/>
    <mergeCell ref="A19:B19"/>
    <mergeCell ref="P20:Q20"/>
    <mergeCell ref="A1:S1"/>
    <mergeCell ref="A18:S18"/>
    <mergeCell ref="G19:H19"/>
    <mergeCell ref="J19:K19"/>
    <mergeCell ref="M19:N19"/>
    <mergeCell ref="P19:Q19"/>
    <mergeCell ref="A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30" customWidth="1" min="4" max="4"/>
    <col width="16" customWidth="1" min="5" max="5"/>
    <col width="14" customWidth="1" min="6" max="6"/>
    <col width="14" customWidth="1" min="7" max="7"/>
    <col width="18" customWidth="1" min="8" max="8"/>
    <col width="22" customWidth="1" min="9" max="9"/>
    <col width="26" customWidth="1" min="10" max="10"/>
    <col width="18" customWidth="1" min="11" max="11"/>
    <col width="26" customWidth="1" min="12" max="12"/>
    <col width="26" customWidth="1" min="13" max="13"/>
  </cols>
  <sheetData>
    <row r="1" ht="24" customHeight="1">
      <c r="A1" s="13" t="inlineStr">
        <is>
          <t>TARGETS INPUT TEMPLATE — FY27 Aug–Oct 2026  |  MOST CRITICAL missing input</t>
        </is>
      </c>
    </row>
    <row r="2" ht="18" customHeight="1">
      <c r="A2" s="14" t="inlineStr">
        <is>
          <t>Required grain: Chain × Brand × EAN × Month. Where only chain-brand totals available, use target_source=ALLOCATED and allocation_method. Yellow = required. target_qty must be &gt; 0.</t>
        </is>
      </c>
    </row>
    <row r="3" ht="52" customHeight="1">
      <c r="A3" s="7" t="inlineStr">
        <is>
          <t>month
(YYYY-MM)</t>
        </is>
      </c>
      <c r="B3" s="7" t="inlineStr">
        <is>
          <t>chain_name</t>
        </is>
      </c>
      <c r="C3" s="7" t="inlineStr">
        <is>
          <t>brand</t>
        </is>
      </c>
      <c r="D3" s="7" t="inlineStr">
        <is>
          <t>article</t>
        </is>
      </c>
      <c r="E3" s="7" t="inlineStr">
        <is>
          <t>ean</t>
        </is>
      </c>
      <c r="F3" s="7" t="inlineStr">
        <is>
          <t>target_qty
(units)</t>
        </is>
      </c>
      <c r="G3" s="7" t="inlineStr">
        <is>
          <t>target_nsv
(₹)</t>
        </is>
      </c>
      <c r="H3" s="7" t="inlineStr">
        <is>
          <t>target_primary_qty
(units)</t>
        </is>
      </c>
      <c r="I3" s="7" t="inlineStr">
        <is>
          <t>target_source
(ACTUAL / ALLOCATED)</t>
        </is>
      </c>
      <c r="J3" s="7" t="inlineStr">
        <is>
          <t>allocation_method
(HISTORICAL / MGMT_ESTIMATE)</t>
        </is>
      </c>
      <c r="K3" s="7" t="inlineStr">
        <is>
          <t>approved_by</t>
        </is>
      </c>
      <c r="L3" s="7" t="inlineStr">
        <is>
          <t>quality_status
(ACTUAL_BUSINESS_TARGET / ALLOCATED / MISSING)</t>
        </is>
      </c>
      <c r="M3" s="7" t="inlineStr">
        <is>
          <t>VALIDATION
(formula)</t>
        </is>
      </c>
    </row>
    <row r="4" ht="16" customHeight="1">
      <c r="A4" s="18" t="inlineStr">
        <is>
          <t>↓  EXAMPLE ROW — delete before uploading  ↓</t>
        </is>
      </c>
    </row>
    <row r="5" ht="20" customHeight="1">
      <c r="A5" s="19" t="inlineStr">
        <is>
          <t>2026-08</t>
        </is>
      </c>
      <c r="B5" s="19" t="inlineStr">
        <is>
          <t>Apollo Pharmacy</t>
        </is>
      </c>
      <c r="C5" s="19" t="inlineStr">
        <is>
          <t>Mamaearth</t>
        </is>
      </c>
      <c r="D5" s="20" t="inlineStr">
        <is>
          <t>Onion Hair Oil 150ml</t>
        </is>
      </c>
      <c r="E5" s="19" t="inlineStr">
        <is>
          <t>8906087751234</t>
        </is>
      </c>
      <c r="F5" s="19" t="inlineStr">
        <is>
          <t>500</t>
        </is>
      </c>
      <c r="G5" s="20" t="inlineStr">
        <is>
          <t>75000</t>
        </is>
      </c>
      <c r="H5" s="20" t="inlineStr">
        <is>
          <t>600</t>
        </is>
      </c>
      <c r="I5" s="20" t="inlineStr">
        <is>
          <t>ACTUAL_BUSINESS_TARGET</t>
        </is>
      </c>
      <c r="J5" s="20" t="inlineStr">
        <is>
          <t>N/A</t>
        </is>
      </c>
      <c r="K5" s="20" t="inlineStr">
        <is>
          <t>Sheshant Aswal</t>
        </is>
      </c>
      <c r="L5" s="20" t="inlineStr">
        <is>
          <t>ACTUAL_BUSINESS_TARGET</t>
        </is>
      </c>
      <c r="M5" s="10">
        <f>IF(OR(A5="",B5="",C5="",E5="",F5=""),"✗ Required fields missing",IF(VALUE(F5)&lt;=0,"✗ target_qty must be &gt; 0",IF(NOT(ISNUMBER(SEARCH("-",A5))),"✗ month must be YYYY-MM","✓ Row valid — ready to upload")))</f>
        <v/>
      </c>
    </row>
    <row r="6" ht="18" customHeight="1">
      <c r="A6" s="21" t="inlineStr"/>
      <c r="B6" s="21" t="inlineStr"/>
      <c r="C6" s="21" t="inlineStr"/>
      <c r="D6" s="22" t="inlineStr"/>
      <c r="E6" s="21" t="inlineStr"/>
      <c r="F6" s="21" t="inlineStr"/>
      <c r="G6" s="22" t="inlineStr"/>
      <c r="H6" s="22" t="inlineStr"/>
      <c r="I6" s="22" t="inlineStr"/>
      <c r="J6" s="22" t="inlineStr"/>
      <c r="K6" s="22" t="inlineStr"/>
      <c r="L6" s="22" t="inlineStr"/>
      <c r="M6" s="10">
        <f>IF(AND(A6="",B6="",C6="",E6="",F6=""),"",IF(OR(A6="",B6="",C6="",E6="",F6=""),"✗ Required missing",IF(ISNUMBER(VALUE(F6)),IF(VALUE(F6)&lt;=0,"✗ qty&gt;0 required","✓ Valid"),"✗ target_qty not numeric")))</f>
        <v/>
      </c>
    </row>
    <row r="7" ht="18" customHeight="1">
      <c r="A7" s="21" t="inlineStr"/>
      <c r="B7" s="21" t="inlineStr"/>
      <c r="C7" s="21" t="inlineStr"/>
      <c r="D7" s="23" t="inlineStr"/>
      <c r="E7" s="21" t="inlineStr"/>
      <c r="F7" s="21" t="inlineStr"/>
      <c r="G7" s="23" t="inlineStr"/>
      <c r="H7" s="23" t="inlineStr"/>
      <c r="I7" s="23" t="inlineStr"/>
      <c r="J7" s="23" t="inlineStr"/>
      <c r="K7" s="23" t="inlineStr"/>
      <c r="L7" s="23" t="inlineStr"/>
      <c r="M7" s="8">
        <f>IF(AND(A7="",B7="",C7="",E7="",F7=""),"",IF(OR(A7="",B7="",C7="",E7="",F7=""),"✗ Required missing",IF(ISNUMBER(VALUE(F7)),IF(VALUE(F7)&lt;=0,"✗ qty&gt;0 required","✓ Valid"),"✗ target_qty not numeric")))</f>
        <v/>
      </c>
    </row>
    <row r="8" ht="18" customHeight="1">
      <c r="A8" s="21" t="inlineStr"/>
      <c r="B8" s="21" t="inlineStr"/>
      <c r="C8" s="21" t="inlineStr"/>
      <c r="D8" s="22" t="inlineStr"/>
      <c r="E8" s="21" t="inlineStr"/>
      <c r="F8" s="21" t="inlineStr"/>
      <c r="G8" s="22" t="inlineStr"/>
      <c r="H8" s="22" t="inlineStr"/>
      <c r="I8" s="22" t="inlineStr"/>
      <c r="J8" s="22" t="inlineStr"/>
      <c r="K8" s="22" t="inlineStr"/>
      <c r="L8" s="22" t="inlineStr"/>
      <c r="M8" s="10">
        <f>IF(AND(A8="",B8="",C8="",E8="",F8=""),"",IF(OR(A8="",B8="",C8="",E8="",F8=""),"✗ Required missing",IF(ISNUMBER(VALUE(F8)),IF(VALUE(F8)&lt;=0,"✗ qty&gt;0 required","✓ Valid"),"✗ target_qty not numeric")))</f>
        <v/>
      </c>
    </row>
    <row r="9" ht="18" customHeight="1">
      <c r="A9" s="21" t="inlineStr"/>
      <c r="B9" s="21" t="inlineStr"/>
      <c r="C9" s="21" t="inlineStr"/>
      <c r="D9" s="23" t="inlineStr"/>
      <c r="E9" s="21" t="inlineStr"/>
      <c r="F9" s="21" t="inlineStr"/>
      <c r="G9" s="23" t="inlineStr"/>
      <c r="H9" s="23" t="inlineStr"/>
      <c r="I9" s="23" t="inlineStr"/>
      <c r="J9" s="23" t="inlineStr"/>
      <c r="K9" s="23" t="inlineStr"/>
      <c r="L9" s="23" t="inlineStr"/>
      <c r="M9" s="8">
        <f>IF(AND(A9="",B9="",C9="",E9="",F9=""),"",IF(OR(A9="",B9="",C9="",E9="",F9=""),"✗ Required missing",IF(ISNUMBER(VALUE(F9)),IF(VALUE(F9)&lt;=0,"✗ qty&gt;0 required","✓ Valid"),"✗ target_qty not numeric")))</f>
        <v/>
      </c>
    </row>
    <row r="10" ht="18" customHeight="1">
      <c r="A10" s="21" t="inlineStr"/>
      <c r="B10" s="21" t="inlineStr"/>
      <c r="C10" s="21" t="inlineStr"/>
      <c r="D10" s="22" t="inlineStr"/>
      <c r="E10" s="21" t="inlineStr"/>
      <c r="F10" s="21" t="inlineStr"/>
      <c r="G10" s="22" t="inlineStr"/>
      <c r="H10" s="22" t="inlineStr"/>
      <c r="I10" s="22" t="inlineStr"/>
      <c r="J10" s="22" t="inlineStr"/>
      <c r="K10" s="22" t="inlineStr"/>
      <c r="L10" s="22" t="inlineStr"/>
      <c r="M10" s="10">
        <f>IF(AND(A10="",B10="",C10="",E10="",F10=""),"",IF(OR(A10="",B10="",C10="",E10="",F10=""),"✗ Required missing",IF(ISNUMBER(VALUE(F10)),IF(VALUE(F10)&lt;=0,"✗ qty&gt;0 required","✓ Valid"),"✗ target_qty not numeric")))</f>
        <v/>
      </c>
    </row>
    <row r="11" ht="18" customHeight="1">
      <c r="A11" s="21" t="inlineStr"/>
      <c r="B11" s="21" t="inlineStr"/>
      <c r="C11" s="21" t="inlineStr"/>
      <c r="D11" s="23" t="inlineStr"/>
      <c r="E11" s="21" t="inlineStr"/>
      <c r="F11" s="21" t="inlineStr"/>
      <c r="G11" s="23" t="inlineStr"/>
      <c r="H11" s="23" t="inlineStr"/>
      <c r="I11" s="23" t="inlineStr"/>
      <c r="J11" s="23" t="inlineStr"/>
      <c r="K11" s="23" t="inlineStr"/>
      <c r="L11" s="23" t="inlineStr"/>
      <c r="M11" s="8">
        <f>IF(AND(A11="",B11="",C11="",E11="",F11=""),"",IF(OR(A11="",B11="",C11="",E11="",F11=""),"✗ Required missing",IF(ISNUMBER(VALUE(F11)),IF(VALUE(F11)&lt;=0,"✗ qty&gt;0 required","✓ Valid"),"✗ target_qty not numeric")))</f>
        <v/>
      </c>
    </row>
    <row r="12" ht="18" customHeight="1">
      <c r="A12" s="21" t="inlineStr"/>
      <c r="B12" s="21" t="inlineStr"/>
      <c r="C12" s="21" t="inlineStr"/>
      <c r="D12" s="22" t="inlineStr"/>
      <c r="E12" s="21" t="inlineStr"/>
      <c r="F12" s="21" t="inlineStr"/>
      <c r="G12" s="22" t="inlineStr"/>
      <c r="H12" s="22" t="inlineStr"/>
      <c r="I12" s="22" t="inlineStr"/>
      <c r="J12" s="22" t="inlineStr"/>
      <c r="K12" s="22" t="inlineStr"/>
      <c r="L12" s="22" t="inlineStr"/>
      <c r="M12" s="10">
        <f>IF(AND(A12="",B12="",C12="",E12="",F12=""),"",IF(OR(A12="",B12="",C12="",E12="",F12=""),"✗ Required missing",IF(ISNUMBER(VALUE(F12)),IF(VALUE(F12)&lt;=0,"✗ qty&gt;0 required","✓ Valid"),"✗ target_qty not numeric")))</f>
        <v/>
      </c>
    </row>
    <row r="13" ht="18" customHeight="1">
      <c r="A13" s="21" t="inlineStr"/>
      <c r="B13" s="21" t="inlineStr"/>
      <c r="C13" s="21" t="inlineStr"/>
      <c r="D13" s="23" t="inlineStr"/>
      <c r="E13" s="21" t="inlineStr"/>
      <c r="F13" s="21" t="inlineStr"/>
      <c r="G13" s="23" t="inlineStr"/>
      <c r="H13" s="23" t="inlineStr"/>
      <c r="I13" s="23" t="inlineStr"/>
      <c r="J13" s="23" t="inlineStr"/>
      <c r="K13" s="23" t="inlineStr"/>
      <c r="L13" s="23" t="inlineStr"/>
      <c r="M13" s="8">
        <f>IF(AND(A13="",B13="",C13="",E13="",F13=""),"",IF(OR(A13="",B13="",C13="",E13="",F13=""),"✗ Required missing",IF(ISNUMBER(VALUE(F13)),IF(VALUE(F13)&lt;=0,"✗ qty&gt;0 required","✓ Valid"),"✗ target_qty not numeric")))</f>
        <v/>
      </c>
    </row>
    <row r="14" ht="18" customHeight="1">
      <c r="A14" s="21" t="inlineStr"/>
      <c r="B14" s="21" t="inlineStr"/>
      <c r="C14" s="21" t="inlineStr"/>
      <c r="D14" s="22" t="inlineStr"/>
      <c r="E14" s="21" t="inlineStr"/>
      <c r="F14" s="21" t="inlineStr"/>
      <c r="G14" s="22" t="inlineStr"/>
      <c r="H14" s="22" t="inlineStr"/>
      <c r="I14" s="22" t="inlineStr"/>
      <c r="J14" s="22" t="inlineStr"/>
      <c r="K14" s="22" t="inlineStr"/>
      <c r="L14" s="22" t="inlineStr"/>
      <c r="M14" s="10">
        <f>IF(AND(A14="",B14="",C14="",E14="",F14=""),"",IF(OR(A14="",B14="",C14="",E14="",F14=""),"✗ Required missing",IF(ISNUMBER(VALUE(F14)),IF(VALUE(F14)&lt;=0,"✗ qty&gt;0 required","✓ Valid"),"✗ target_qty not numeric")))</f>
        <v/>
      </c>
    </row>
    <row r="15" ht="18" customHeight="1">
      <c r="A15" s="21" t="inlineStr"/>
      <c r="B15" s="21" t="inlineStr"/>
      <c r="C15" s="21" t="inlineStr"/>
      <c r="D15" s="23" t="inlineStr"/>
      <c r="E15" s="21" t="inlineStr"/>
      <c r="F15" s="21" t="inlineStr"/>
      <c r="G15" s="23" t="inlineStr"/>
      <c r="H15" s="23" t="inlineStr"/>
      <c r="I15" s="23" t="inlineStr"/>
      <c r="J15" s="23" t="inlineStr"/>
      <c r="K15" s="23" t="inlineStr"/>
      <c r="L15" s="23" t="inlineStr"/>
      <c r="M15" s="8">
        <f>IF(AND(A15="",B15="",C15="",E15="",F15=""),"",IF(OR(A15="",B15="",C15="",E15="",F15=""),"✗ Required missing",IF(ISNUMBER(VALUE(F15)),IF(VALUE(F15)&lt;=0,"✗ qty&gt;0 required","✓ Valid"),"✗ target_qty not numeric")))</f>
        <v/>
      </c>
    </row>
    <row r="16" ht="18" customHeight="1">
      <c r="A16" s="21" t="inlineStr"/>
      <c r="B16" s="21" t="inlineStr"/>
      <c r="C16" s="21" t="inlineStr"/>
      <c r="D16" s="22" t="inlineStr"/>
      <c r="E16" s="21" t="inlineStr"/>
      <c r="F16" s="21" t="inlineStr"/>
      <c r="G16" s="22" t="inlineStr"/>
      <c r="H16" s="22" t="inlineStr"/>
      <c r="I16" s="22" t="inlineStr"/>
      <c r="J16" s="22" t="inlineStr"/>
      <c r="K16" s="22" t="inlineStr"/>
      <c r="L16" s="22" t="inlineStr"/>
      <c r="M16" s="10">
        <f>IF(AND(A16="",B16="",C16="",E16="",F16=""),"",IF(OR(A16="",B16="",C16="",E16="",F16=""),"✗ Required missing",IF(ISNUMBER(VALUE(F16)),IF(VALUE(F16)&lt;=0,"✗ qty&gt;0 required","✓ Valid"),"✗ target_qty not numeric")))</f>
        <v/>
      </c>
    </row>
    <row r="17" ht="18" customHeight="1">
      <c r="A17" s="21" t="inlineStr"/>
      <c r="B17" s="21" t="inlineStr"/>
      <c r="C17" s="21" t="inlineStr"/>
      <c r="D17" s="23" t="inlineStr"/>
      <c r="E17" s="21" t="inlineStr"/>
      <c r="F17" s="21" t="inlineStr"/>
      <c r="G17" s="23" t="inlineStr"/>
      <c r="H17" s="23" t="inlineStr"/>
      <c r="I17" s="23" t="inlineStr"/>
      <c r="J17" s="23" t="inlineStr"/>
      <c r="K17" s="23" t="inlineStr"/>
      <c r="L17" s="23" t="inlineStr"/>
      <c r="M17" s="8">
        <f>IF(AND(A17="",B17="",C17="",E17="",F17=""),"",IF(OR(A17="",B17="",C17="",E17="",F17=""),"✗ Required missing",IF(ISNUMBER(VALUE(F17)),IF(VALUE(F17)&lt;=0,"✗ qty&gt;0 required","✓ Valid"),"✗ target_qty not numeric")))</f>
        <v/>
      </c>
    </row>
    <row r="18" ht="18" customHeight="1">
      <c r="A18" s="21" t="inlineStr"/>
      <c r="B18" s="21" t="inlineStr"/>
      <c r="C18" s="21" t="inlineStr"/>
      <c r="D18" s="22" t="inlineStr"/>
      <c r="E18" s="21" t="inlineStr"/>
      <c r="F18" s="21" t="inlineStr"/>
      <c r="G18" s="22" t="inlineStr"/>
      <c r="H18" s="22" t="inlineStr"/>
      <c r="I18" s="22" t="inlineStr"/>
      <c r="J18" s="22" t="inlineStr"/>
      <c r="K18" s="22" t="inlineStr"/>
      <c r="L18" s="22" t="inlineStr"/>
      <c r="M18" s="10">
        <f>IF(AND(A18="",B18="",C18="",E18="",F18=""),"",IF(OR(A18="",B18="",C18="",E18="",F18=""),"✗ Required missing",IF(ISNUMBER(VALUE(F18)),IF(VALUE(F18)&lt;=0,"✗ qty&gt;0 required","✓ Valid"),"✗ target_qty not numeric")))</f>
        <v/>
      </c>
    </row>
    <row r="19" ht="18" customHeight="1">
      <c r="A19" s="21" t="inlineStr"/>
      <c r="B19" s="21" t="inlineStr"/>
      <c r="C19" s="21" t="inlineStr"/>
      <c r="D19" s="23" t="inlineStr"/>
      <c r="E19" s="21" t="inlineStr"/>
      <c r="F19" s="21" t="inlineStr"/>
      <c r="G19" s="23" t="inlineStr"/>
      <c r="H19" s="23" t="inlineStr"/>
      <c r="I19" s="23" t="inlineStr"/>
      <c r="J19" s="23" t="inlineStr"/>
      <c r="K19" s="23" t="inlineStr"/>
      <c r="L19" s="23" t="inlineStr"/>
      <c r="M19" s="8">
        <f>IF(AND(A19="",B19="",C19="",E19="",F19=""),"",IF(OR(A19="",B19="",C19="",E19="",F19=""),"✗ Required missing",IF(ISNUMBER(VALUE(F19)),IF(VALUE(F19)&lt;=0,"✗ qty&gt;0 required","✓ Valid"),"✗ target_qty not numeric")))</f>
        <v/>
      </c>
    </row>
    <row r="20" ht="18" customHeight="1">
      <c r="A20" s="21" t="inlineStr"/>
      <c r="B20" s="21" t="inlineStr"/>
      <c r="C20" s="21" t="inlineStr"/>
      <c r="D20" s="22" t="inlineStr"/>
      <c r="E20" s="21" t="inlineStr"/>
      <c r="F20" s="21" t="inlineStr"/>
      <c r="G20" s="22" t="inlineStr"/>
      <c r="H20" s="22" t="inlineStr"/>
      <c r="I20" s="22" t="inlineStr"/>
      <c r="J20" s="22" t="inlineStr"/>
      <c r="K20" s="22" t="inlineStr"/>
      <c r="L20" s="22" t="inlineStr"/>
      <c r="M20" s="10">
        <f>IF(AND(A20="",B20="",C20="",E20="",F20=""),"",IF(OR(A20="",B20="",C20="",E20="",F20=""),"✗ Required missing",IF(ISNUMBER(VALUE(F20)),IF(VALUE(F20)&lt;=0,"✗ qty&gt;0 required","✓ Valid"),"✗ target_qty not numeric")))</f>
        <v/>
      </c>
    </row>
    <row r="21" ht="18" customHeight="1">
      <c r="A21" s="21" t="inlineStr"/>
      <c r="B21" s="21" t="inlineStr"/>
      <c r="C21" s="21" t="inlineStr"/>
      <c r="D21" s="23" t="inlineStr"/>
      <c r="E21" s="21" t="inlineStr"/>
      <c r="F21" s="21" t="inlineStr"/>
      <c r="G21" s="23" t="inlineStr"/>
      <c r="H21" s="23" t="inlineStr"/>
      <c r="I21" s="23" t="inlineStr"/>
      <c r="J21" s="23" t="inlineStr"/>
      <c r="K21" s="23" t="inlineStr"/>
      <c r="L21" s="23" t="inlineStr"/>
      <c r="M21" s="8">
        <f>IF(AND(A21="",B21="",C21="",E21="",F21=""),"",IF(OR(A21="",B21="",C21="",E21="",F21=""),"✗ Required missing",IF(ISNUMBER(VALUE(F21)),IF(VALUE(F21)&lt;=0,"✗ qty&gt;0 required","✓ Valid"),"✗ target_qty not numeric")))</f>
        <v/>
      </c>
    </row>
    <row r="22" ht="18" customHeight="1">
      <c r="A22" s="21" t="inlineStr"/>
      <c r="B22" s="21" t="inlineStr"/>
      <c r="C22" s="21" t="inlineStr"/>
      <c r="D22" s="22" t="inlineStr"/>
      <c r="E22" s="21" t="inlineStr"/>
      <c r="F22" s="21" t="inlineStr"/>
      <c r="G22" s="22" t="inlineStr"/>
      <c r="H22" s="22" t="inlineStr"/>
      <c r="I22" s="22" t="inlineStr"/>
      <c r="J22" s="22" t="inlineStr"/>
      <c r="K22" s="22" t="inlineStr"/>
      <c r="L22" s="22" t="inlineStr"/>
      <c r="M22" s="10">
        <f>IF(AND(A22="",B22="",C22="",E22="",F22=""),"",IF(OR(A22="",B22="",C22="",E22="",F22=""),"✗ Required missing",IF(ISNUMBER(VALUE(F22)),IF(VALUE(F22)&lt;=0,"✗ qty&gt;0 required","✓ Valid"),"✗ target_qty not numeric")))</f>
        <v/>
      </c>
    </row>
    <row r="23" ht="18" customHeight="1">
      <c r="A23" s="21" t="inlineStr"/>
      <c r="B23" s="21" t="inlineStr"/>
      <c r="C23" s="21" t="inlineStr"/>
      <c r="D23" s="23" t="inlineStr"/>
      <c r="E23" s="21" t="inlineStr"/>
      <c r="F23" s="21" t="inlineStr"/>
      <c r="G23" s="23" t="inlineStr"/>
      <c r="H23" s="23" t="inlineStr"/>
      <c r="I23" s="23" t="inlineStr"/>
      <c r="J23" s="23" t="inlineStr"/>
      <c r="K23" s="23" t="inlineStr"/>
      <c r="L23" s="23" t="inlineStr"/>
      <c r="M23" s="8">
        <f>IF(AND(A23="",B23="",C23="",E23="",F23=""),"",IF(OR(A23="",B23="",C23="",E23="",F23=""),"✗ Required missing",IF(ISNUMBER(VALUE(F23)),IF(VALUE(F23)&lt;=0,"✗ qty&gt;0 required","✓ Valid"),"✗ target_qty not numeric")))</f>
        <v/>
      </c>
    </row>
    <row r="24" ht="18" customHeight="1">
      <c r="A24" s="21" t="inlineStr"/>
      <c r="B24" s="21" t="inlineStr"/>
      <c r="C24" s="21" t="inlineStr"/>
      <c r="D24" s="22" t="inlineStr"/>
      <c r="E24" s="21" t="inlineStr"/>
      <c r="F24" s="21" t="inlineStr"/>
      <c r="G24" s="22" t="inlineStr"/>
      <c r="H24" s="22" t="inlineStr"/>
      <c r="I24" s="22" t="inlineStr"/>
      <c r="J24" s="22" t="inlineStr"/>
      <c r="K24" s="22" t="inlineStr"/>
      <c r="L24" s="22" t="inlineStr"/>
      <c r="M24" s="10">
        <f>IF(AND(A24="",B24="",C24="",E24="",F24=""),"",IF(OR(A24="",B24="",C24="",E24="",F24=""),"✗ Required missing",IF(ISNUMBER(VALUE(F24)),IF(VALUE(F24)&lt;=0,"✗ qty&gt;0 required","✓ Valid"),"✗ target_qty not numeric")))</f>
        <v/>
      </c>
    </row>
    <row r="25" ht="18" customHeight="1">
      <c r="A25" s="21" t="inlineStr"/>
      <c r="B25" s="21" t="inlineStr"/>
      <c r="C25" s="21" t="inlineStr"/>
      <c r="D25" s="23" t="inlineStr"/>
      <c r="E25" s="21" t="inlineStr"/>
      <c r="F25" s="21" t="inlineStr"/>
      <c r="G25" s="23" t="inlineStr"/>
      <c r="H25" s="23" t="inlineStr"/>
      <c r="I25" s="23" t="inlineStr"/>
      <c r="J25" s="23" t="inlineStr"/>
      <c r="K25" s="23" t="inlineStr"/>
      <c r="L25" s="23" t="inlineStr"/>
      <c r="M25" s="8">
        <f>IF(AND(A25="",B25="",C25="",E25="",F25=""),"",IF(OR(A25="",B25="",C25="",E25="",F25=""),"✗ Required missing",IF(ISNUMBER(VALUE(F25)),IF(VALUE(F25)&lt;=0,"✗ qty&gt;0 required","✓ Valid"),"✗ target_qty not numeric")))</f>
        <v/>
      </c>
    </row>
    <row r="26" ht="18" customHeight="1">
      <c r="A26" s="21" t="inlineStr"/>
      <c r="B26" s="21" t="inlineStr"/>
      <c r="C26" s="21" t="inlineStr"/>
      <c r="D26" s="22" t="inlineStr"/>
      <c r="E26" s="21" t="inlineStr"/>
      <c r="F26" s="21" t="inlineStr"/>
      <c r="G26" s="22" t="inlineStr"/>
      <c r="H26" s="22" t="inlineStr"/>
      <c r="I26" s="22" t="inlineStr"/>
      <c r="J26" s="22" t="inlineStr"/>
      <c r="K26" s="22" t="inlineStr"/>
      <c r="L26" s="22" t="inlineStr"/>
      <c r="M26" s="10">
        <f>IF(AND(A26="",B26="",C26="",E26="",F26=""),"",IF(OR(A26="",B26="",C26="",E26="",F26=""),"✗ Required missing",IF(ISNUMBER(VALUE(F26)),IF(VALUE(F26)&lt;=0,"✗ qty&gt;0 required","✓ Valid"),"✗ target_qty not numeric")))</f>
        <v/>
      </c>
    </row>
    <row r="27" ht="18" customHeight="1">
      <c r="A27" s="21" t="inlineStr"/>
      <c r="B27" s="21" t="inlineStr"/>
      <c r="C27" s="21" t="inlineStr"/>
      <c r="D27" s="23" t="inlineStr"/>
      <c r="E27" s="21" t="inlineStr"/>
      <c r="F27" s="21" t="inlineStr"/>
      <c r="G27" s="23" t="inlineStr"/>
      <c r="H27" s="23" t="inlineStr"/>
      <c r="I27" s="23" t="inlineStr"/>
      <c r="J27" s="23" t="inlineStr"/>
      <c r="K27" s="23" t="inlineStr"/>
      <c r="L27" s="23" t="inlineStr"/>
      <c r="M27" s="8">
        <f>IF(AND(A27="",B27="",C27="",E27="",F27=""),"",IF(OR(A27="",B27="",C27="",E27="",F27=""),"✗ Required missing",IF(ISNUMBER(VALUE(F27)),IF(VALUE(F27)&lt;=0,"✗ qty&gt;0 required","✓ Valid"),"✗ target_qty not numeric")))</f>
        <v/>
      </c>
    </row>
    <row r="28" ht="18" customHeight="1">
      <c r="A28" s="21" t="inlineStr"/>
      <c r="B28" s="21" t="inlineStr"/>
      <c r="C28" s="21" t="inlineStr"/>
      <c r="D28" s="22" t="inlineStr"/>
      <c r="E28" s="21" t="inlineStr"/>
      <c r="F28" s="21" t="inlineStr"/>
      <c r="G28" s="22" t="inlineStr"/>
      <c r="H28" s="22" t="inlineStr"/>
      <c r="I28" s="22" t="inlineStr"/>
      <c r="J28" s="22" t="inlineStr"/>
      <c r="K28" s="22" t="inlineStr"/>
      <c r="L28" s="22" t="inlineStr"/>
      <c r="M28" s="10">
        <f>IF(AND(A28="",B28="",C28="",E28="",F28=""),"",IF(OR(A28="",B28="",C28="",E28="",F28=""),"✗ Required missing",IF(ISNUMBER(VALUE(F28)),IF(VALUE(F28)&lt;=0,"✗ qty&gt;0 required","✓ Valid"),"✗ target_qty not numeric")))</f>
        <v/>
      </c>
    </row>
    <row r="29" ht="18" customHeight="1">
      <c r="A29" s="21" t="inlineStr"/>
      <c r="B29" s="21" t="inlineStr"/>
      <c r="C29" s="21" t="inlineStr"/>
      <c r="D29" s="23" t="inlineStr"/>
      <c r="E29" s="21" t="inlineStr"/>
      <c r="F29" s="21" t="inlineStr"/>
      <c r="G29" s="23" t="inlineStr"/>
      <c r="H29" s="23" t="inlineStr"/>
      <c r="I29" s="23" t="inlineStr"/>
      <c r="J29" s="23" t="inlineStr"/>
      <c r="K29" s="23" t="inlineStr"/>
      <c r="L29" s="23" t="inlineStr"/>
      <c r="M29" s="8">
        <f>IF(AND(A29="",B29="",C29="",E29="",F29=""),"",IF(OR(A29="",B29="",C29="",E29="",F29=""),"✗ Required missing",IF(ISNUMBER(VALUE(F29)),IF(VALUE(F29)&lt;=0,"✗ qty&gt;0 required","✓ Valid"),"✗ target_qty not numeric")))</f>
        <v/>
      </c>
    </row>
    <row r="30" ht="18" customHeight="1">
      <c r="A30" s="21" t="inlineStr"/>
      <c r="B30" s="21" t="inlineStr"/>
      <c r="C30" s="21" t="inlineStr"/>
      <c r="D30" s="22" t="inlineStr"/>
      <c r="E30" s="21" t="inlineStr"/>
      <c r="F30" s="21" t="inlineStr"/>
      <c r="G30" s="22" t="inlineStr"/>
      <c r="H30" s="22" t="inlineStr"/>
      <c r="I30" s="22" t="inlineStr"/>
      <c r="J30" s="22" t="inlineStr"/>
      <c r="K30" s="22" t="inlineStr"/>
      <c r="L30" s="22" t="inlineStr"/>
      <c r="M30" s="10">
        <f>IF(AND(A30="",B30="",C30="",E30="",F30=""),"",IF(OR(A30="",B30="",C30="",E30="",F30=""),"✗ Required missing",IF(ISNUMBER(VALUE(F30)),IF(VALUE(F30)&lt;=0,"✗ qty&gt;0 required","✓ Valid"),"✗ target_qty not numeric")))</f>
        <v/>
      </c>
    </row>
    <row r="31" ht="18" customHeight="1">
      <c r="A31" s="21" t="inlineStr"/>
      <c r="B31" s="21" t="inlineStr"/>
      <c r="C31" s="21" t="inlineStr"/>
      <c r="D31" s="23" t="inlineStr"/>
      <c r="E31" s="21" t="inlineStr"/>
      <c r="F31" s="21" t="inlineStr"/>
      <c r="G31" s="23" t="inlineStr"/>
      <c r="H31" s="23" t="inlineStr"/>
      <c r="I31" s="23" t="inlineStr"/>
      <c r="J31" s="23" t="inlineStr"/>
      <c r="K31" s="23" t="inlineStr"/>
      <c r="L31" s="23" t="inlineStr"/>
      <c r="M31" s="8">
        <f>IF(AND(A31="",B31="",C31="",E31="",F31=""),"",IF(OR(A31="",B31="",C31="",E31="",F31=""),"✗ Required missing",IF(ISNUMBER(VALUE(F31)),IF(VALUE(F31)&lt;=0,"✗ qty&gt;0 required","✓ Valid"),"✗ target_qty not numeric")))</f>
        <v/>
      </c>
    </row>
    <row r="32" ht="18" customHeight="1">
      <c r="A32" s="21" t="inlineStr"/>
      <c r="B32" s="21" t="inlineStr"/>
      <c r="C32" s="21" t="inlineStr"/>
      <c r="D32" s="22" t="inlineStr"/>
      <c r="E32" s="21" t="inlineStr"/>
      <c r="F32" s="21" t="inlineStr"/>
      <c r="G32" s="22" t="inlineStr"/>
      <c r="H32" s="22" t="inlineStr"/>
      <c r="I32" s="22" t="inlineStr"/>
      <c r="J32" s="22" t="inlineStr"/>
      <c r="K32" s="22" t="inlineStr"/>
      <c r="L32" s="22" t="inlineStr"/>
      <c r="M32" s="10">
        <f>IF(AND(A32="",B32="",C32="",E32="",F32=""),"",IF(OR(A32="",B32="",C32="",E32="",F32=""),"✗ Required missing",IF(ISNUMBER(VALUE(F32)),IF(VALUE(F32)&lt;=0,"✗ qty&gt;0 required","✓ Valid"),"✗ target_qty not numeric")))</f>
        <v/>
      </c>
    </row>
    <row r="33" ht="18" customHeight="1">
      <c r="A33" s="21" t="inlineStr"/>
      <c r="B33" s="21" t="inlineStr"/>
      <c r="C33" s="21" t="inlineStr"/>
      <c r="D33" s="23" t="inlineStr"/>
      <c r="E33" s="21" t="inlineStr"/>
      <c r="F33" s="21" t="inlineStr"/>
      <c r="G33" s="23" t="inlineStr"/>
      <c r="H33" s="23" t="inlineStr"/>
      <c r="I33" s="23" t="inlineStr"/>
      <c r="J33" s="23" t="inlineStr"/>
      <c r="K33" s="23" t="inlineStr"/>
      <c r="L33" s="23" t="inlineStr"/>
      <c r="M33" s="8">
        <f>IF(AND(A33="",B33="",C33="",E33="",F33=""),"",IF(OR(A33="",B33="",C33="",E33="",F33=""),"✗ Required missing",IF(ISNUMBER(VALUE(F33)),IF(VALUE(F33)&lt;=0,"✗ qty&gt;0 required","✓ Valid"),"✗ target_qty not numeric")))</f>
        <v/>
      </c>
    </row>
    <row r="34" ht="18" customHeight="1">
      <c r="A34" s="21" t="inlineStr"/>
      <c r="B34" s="21" t="inlineStr"/>
      <c r="C34" s="21" t="inlineStr"/>
      <c r="D34" s="22" t="inlineStr"/>
      <c r="E34" s="21" t="inlineStr"/>
      <c r="F34" s="21" t="inlineStr"/>
      <c r="G34" s="22" t="inlineStr"/>
      <c r="H34" s="22" t="inlineStr"/>
      <c r="I34" s="22" t="inlineStr"/>
      <c r="J34" s="22" t="inlineStr"/>
      <c r="K34" s="22" t="inlineStr"/>
      <c r="L34" s="22" t="inlineStr"/>
      <c r="M34" s="10">
        <f>IF(AND(A34="",B34="",C34="",E34="",F34=""),"",IF(OR(A34="",B34="",C34="",E34="",F34=""),"✗ Required missing",IF(ISNUMBER(VALUE(F34)),IF(VALUE(F34)&lt;=0,"✗ qty&gt;0 required","✓ Valid"),"✗ target_qty not numeric")))</f>
        <v/>
      </c>
    </row>
    <row r="35" ht="18" customHeight="1">
      <c r="A35" s="21" t="inlineStr"/>
      <c r="B35" s="21" t="inlineStr"/>
      <c r="C35" s="21" t="inlineStr"/>
      <c r="D35" s="23" t="inlineStr"/>
      <c r="E35" s="21" t="inlineStr"/>
      <c r="F35" s="21" t="inlineStr"/>
      <c r="G35" s="23" t="inlineStr"/>
      <c r="H35" s="23" t="inlineStr"/>
      <c r="I35" s="23" t="inlineStr"/>
      <c r="J35" s="23" t="inlineStr"/>
      <c r="K35" s="23" t="inlineStr"/>
      <c r="L35" s="23" t="inlineStr"/>
      <c r="M35" s="8">
        <f>IF(AND(A35="",B35="",C35="",E35="",F35=""),"",IF(OR(A35="",B35="",C35="",E35="",F35=""),"✗ Required missing",IF(ISNUMBER(VALUE(F35)),IF(VALUE(F35)&lt;=0,"✗ qty&gt;0 required","✓ Valid"),"✗ target_qty not numeric")))</f>
        <v/>
      </c>
    </row>
    <row r="36">
      <c r="A36" s="3" t="inlineStr">
        <is>
          <t>LIVE SUMMARY (auto-calculates as you add target rows)</t>
        </is>
      </c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16" t="n"/>
    </row>
    <row r="37" ht="24" customHeight="1">
      <c r="A37" s="4" t="inlineStr">
        <is>
          <t>Rows entered</t>
        </is>
      </c>
      <c r="B37" s="16" t="n"/>
      <c r="C37" s="4" t="inlineStr">
        <is>
          <t>Valid rows</t>
        </is>
      </c>
      <c r="D37" s="16" t="n"/>
      <c r="E37" s="4" t="inlineStr">
        <is>
          <t>Rows with issues</t>
        </is>
      </c>
      <c r="F37" s="16" t="n"/>
      <c r="G37" s="4" t="inlineStr">
        <is>
          <t>Total target_qty</t>
        </is>
      </c>
      <c r="H37" s="16" t="n"/>
      <c r="I37" s="4" t="inlineStr">
        <is>
          <t>Total target_nsv</t>
        </is>
      </c>
      <c r="J37" s="16" t="n"/>
      <c r="K37" s="4" t="inlineStr">
        <is>
          <t>Months covered</t>
        </is>
      </c>
      <c r="L37" s="16" t="n"/>
    </row>
    <row r="38" ht="30" customHeight="1">
      <c r="A38" s="17">
        <f>COUNTA(A6:A35)</f>
        <v/>
      </c>
      <c r="B38" s="16" t="n"/>
      <c r="C38" s="17">
        <f>COUNTIF(M6:M35,"✓ Valid")</f>
        <v/>
      </c>
      <c r="D38" s="16" t="n"/>
      <c r="E38" s="17">
        <f>COUNTA(M6:M35)-COUNTIF(M6:M35,"✓ Valid")-COUNTBLANK(M6:M35)</f>
        <v/>
      </c>
      <c r="F38" s="16" t="n"/>
      <c r="G38" s="17">
        <f>IFERROR(SUM(F6:F35),0)</f>
        <v/>
      </c>
      <c r="H38" s="16" t="n"/>
      <c r="I38" s="17">
        <f>IFERROR(SUM(G6:G35),0)</f>
        <v/>
      </c>
      <c r="J38" s="16" t="n"/>
      <c r="K38" s="17">
        <f>IFERROR(SUMPRODUCT(1/COUNTIF(A6:A35,A6:A35)*(A6:A35&lt;&gt;"")),0)</f>
        <v/>
      </c>
      <c r="L38" s="16" t="n"/>
    </row>
  </sheetData>
  <mergeCells count="16">
    <mergeCell ref="A36:M36"/>
    <mergeCell ref="A38:B38"/>
    <mergeCell ref="E38:F38"/>
    <mergeCell ref="A1:M1"/>
    <mergeCell ref="C38:D38"/>
    <mergeCell ref="G38:H38"/>
    <mergeCell ref="I38:J38"/>
    <mergeCell ref="K38:L38"/>
    <mergeCell ref="C37:D37"/>
    <mergeCell ref="A4:M4"/>
    <mergeCell ref="A37:B37"/>
    <mergeCell ref="E37:F37"/>
    <mergeCell ref="G37:H37"/>
    <mergeCell ref="I37:J37"/>
    <mergeCell ref="K37:L37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28" customWidth="1" min="4" max="4"/>
    <col width="16" customWidth="1" min="5" max="5"/>
    <col width="18" customWidth="1" min="6" max="6"/>
    <col width="12" customWidth="1" min="7" max="7"/>
    <col width="16" customWidth="1" min="8" max="8"/>
    <col width="14" customWidth="1" min="9" max="9"/>
    <col width="18" customWidth="1" min="10" max="10"/>
    <col width="12" customWidth="1" min="11" max="11"/>
    <col width="14" customWidth="1" min="12" max="12"/>
    <col width="14" customWidth="1" min="13" max="13"/>
    <col width="14" customWidth="1" min="14" max="14"/>
    <col width="18" customWidth="1" min="15" max="15"/>
    <col width="18" customWidth="1" min="16" max="16"/>
    <col width="28" customWidth="1" min="17" max="17"/>
    <col width="26" customWidth="1" min="18" max="18"/>
  </cols>
  <sheetData>
    <row r="1" ht="24" customHeight="1">
      <c r="A1" s="13" t="inlineStr">
        <is>
          <t>NPI LAUNCH PLAN — Aug–Oct 2026 only  |  Only APPROVED rows affect forecast</t>
        </is>
      </c>
    </row>
    <row r="2" ht="20" customHeight="1">
      <c r="A2" s="14" t="inlineStr">
        <is>
          <t>Month 1 = initial fill + launch demand. Month 2 = distribution expansion. Month 3 = normalized run rate. After ramp-up, engine switches to trend-based. Yellow = required. Only APPROVED rows affect production.</t>
        </is>
      </c>
    </row>
    <row r="3" ht="52" customHeight="1">
      <c r="A3" s="7" t="inlineStr">
        <is>
          <t>launch_month
(YYYY-MM)</t>
        </is>
      </c>
      <c r="B3" s="7" t="inlineStr">
        <is>
          <t>chain_name
(or ALL)</t>
        </is>
      </c>
      <c r="C3" s="7" t="inlineStr">
        <is>
          <t>brand</t>
        </is>
      </c>
      <c r="D3" s="7" t="inlineStr">
        <is>
          <t>article</t>
        </is>
      </c>
      <c r="E3" s="7" t="inlineStr">
        <is>
          <t>ean</t>
        </is>
      </c>
      <c r="F3" s="7" t="inlineStr">
        <is>
          <t>launch_type
(NATIONAL/REGIONAL/CHAIN_EXCLUSIVE)</t>
        </is>
      </c>
      <c r="G3" s="7" t="inlineStr">
        <is>
          <t>planned_stores</t>
        </is>
      </c>
      <c r="H3" s="7" t="inlineStr">
        <is>
          <t>expected_distribution_pct
(%)</t>
        </is>
      </c>
      <c r="I3" s="7" t="inlineStr">
        <is>
          <t>initial_fill_qty</t>
        </is>
      </c>
      <c r="J3" s="7" t="inlineStr">
        <is>
          <t>monthly_run_rate_qty</t>
        </is>
      </c>
      <c r="K3" s="7" t="inlineStr">
        <is>
          <t>ramp_up_months
(1-3)</t>
        </is>
      </c>
      <c r="L3" s="7" t="inlineStr">
        <is>
          <t>month_1_uplift_pct</t>
        </is>
      </c>
      <c r="M3" s="7" t="inlineStr">
        <is>
          <t>month_2_uplift_pct</t>
        </is>
      </c>
      <c r="N3" s="7" t="inlineStr">
        <is>
          <t>month_3_uplift_pct</t>
        </is>
      </c>
      <c r="O3" s="7" t="inlineStr">
        <is>
          <t>owner</t>
        </is>
      </c>
      <c r="P3" s="7" t="inlineStr">
        <is>
          <t>approval_status
◀ APPROVED / PENDING</t>
        </is>
      </c>
      <c r="Q3" s="7" t="inlineStr">
        <is>
          <t>remarks</t>
        </is>
      </c>
      <c r="R3" s="7" t="inlineStr">
        <is>
          <t>VALIDATION
(formula)</t>
        </is>
      </c>
    </row>
    <row r="4" ht="16" customHeight="1">
      <c r="A4" s="18" t="inlineStr">
        <is>
          <t>↓  EXAMPLE ROW — delete before uploading  ↓</t>
        </is>
      </c>
    </row>
    <row r="5" ht="20" customHeight="1">
      <c r="A5" s="19" t="inlineStr">
        <is>
          <t>2026-08</t>
        </is>
      </c>
      <c r="B5" s="19" t="inlineStr">
        <is>
          <t>ALL</t>
        </is>
      </c>
      <c r="C5" s="20" t="inlineStr">
        <is>
          <t>Mamaearth</t>
        </is>
      </c>
      <c r="D5" s="20" t="inlineStr">
        <is>
          <t>New Vitamin C Serum 30ml</t>
        </is>
      </c>
      <c r="E5" s="19" t="inlineStr">
        <is>
          <t>8906087799999</t>
        </is>
      </c>
      <c r="F5" s="20" t="inlineStr">
        <is>
          <t>NATIONAL</t>
        </is>
      </c>
      <c r="G5" s="20" t="inlineStr">
        <is>
          <t>850</t>
        </is>
      </c>
      <c r="H5" s="19" t="inlineStr">
        <is>
          <t>65</t>
        </is>
      </c>
      <c r="I5" s="19" t="inlineStr">
        <is>
          <t>12000</t>
        </is>
      </c>
      <c r="J5" s="20" t="inlineStr">
        <is>
          <t>8000</t>
        </is>
      </c>
      <c r="K5" s="20" t="inlineStr">
        <is>
          <t>3</t>
        </is>
      </c>
      <c r="L5" s="20" t="inlineStr">
        <is>
          <t>80</t>
        </is>
      </c>
      <c r="M5" s="20" t="inlineStr">
        <is>
          <t>90</t>
        </is>
      </c>
      <c r="N5" s="20" t="inlineStr">
        <is>
          <t>100</t>
        </is>
      </c>
      <c r="O5" s="20" t="inlineStr">
        <is>
          <t>Category Mgr</t>
        </is>
      </c>
      <c r="P5" s="19" t="inlineStr">
        <is>
          <t>PENDING</t>
        </is>
      </c>
      <c r="Q5" s="20" t="inlineStr">
        <is>
          <t>Awaiting trade plan</t>
        </is>
      </c>
      <c r="R5" s="10">
        <f>IF(OR(A5="",E5="",H5="",I5=""),"✗ Required missing",IF(P5="APPROVED","✓ APPROVED",IF(AND(H5&lt;&gt;"",I5&lt;&gt;""),"Ready — set col P = APPROVED","⚠ Complete required fields")))</f>
        <v/>
      </c>
    </row>
    <row r="6" ht="18" customHeight="1">
      <c r="A6" s="21" t="inlineStr"/>
      <c r="B6" s="21" t="inlineStr"/>
      <c r="C6" s="22" t="inlineStr"/>
      <c r="D6" s="22" t="inlineStr"/>
      <c r="E6" s="21" t="inlineStr"/>
      <c r="F6" s="22" t="inlineStr"/>
      <c r="G6" s="22" t="inlineStr"/>
      <c r="H6" s="21" t="inlineStr"/>
      <c r="I6" s="21" t="inlineStr"/>
      <c r="J6" s="22" t="inlineStr"/>
      <c r="K6" s="22" t="inlineStr"/>
      <c r="L6" s="22" t="inlineStr"/>
      <c r="M6" s="22" t="inlineStr"/>
      <c r="N6" s="22" t="inlineStr"/>
      <c r="O6" s="22" t="inlineStr"/>
      <c r="P6" s="21" t="inlineStr"/>
      <c r="Q6" s="22" t="inlineStr"/>
      <c r="R6" s="10">
        <f>IF(AND(A6="",E6="",H6="",I6=""),"",IF(OR(A6="",E6="",H6="",I6=""),"✗ Required missing",IF(P6="APPROVED","✓ APPROVED","Set col P = APPROVED")))</f>
        <v/>
      </c>
    </row>
    <row r="7" ht="18" customHeight="1">
      <c r="A7" s="21" t="inlineStr"/>
      <c r="B7" s="21" t="inlineStr"/>
      <c r="C7" s="23" t="inlineStr"/>
      <c r="D7" s="23" t="inlineStr"/>
      <c r="E7" s="21" t="inlineStr"/>
      <c r="F7" s="23" t="inlineStr"/>
      <c r="G7" s="23" t="inlineStr"/>
      <c r="H7" s="21" t="inlineStr"/>
      <c r="I7" s="21" t="inlineStr"/>
      <c r="J7" s="23" t="inlineStr"/>
      <c r="K7" s="23" t="inlineStr"/>
      <c r="L7" s="23" t="inlineStr"/>
      <c r="M7" s="23" t="inlineStr"/>
      <c r="N7" s="23" t="inlineStr"/>
      <c r="O7" s="23" t="inlineStr"/>
      <c r="P7" s="21" t="inlineStr"/>
      <c r="Q7" s="23" t="inlineStr"/>
      <c r="R7" s="8">
        <f>IF(AND(A7="",E7="",H7="",I7=""),"",IF(OR(A7="",E7="",H7="",I7=""),"✗ Required missing",IF(P7="APPROVED","✓ APPROVED","Set col P = APPROVED")))</f>
        <v/>
      </c>
    </row>
    <row r="8" ht="18" customHeight="1">
      <c r="A8" s="21" t="inlineStr"/>
      <c r="B8" s="21" t="inlineStr"/>
      <c r="C8" s="22" t="inlineStr"/>
      <c r="D8" s="22" t="inlineStr"/>
      <c r="E8" s="21" t="inlineStr"/>
      <c r="F8" s="22" t="inlineStr"/>
      <c r="G8" s="22" t="inlineStr"/>
      <c r="H8" s="21" t="inlineStr"/>
      <c r="I8" s="21" t="inlineStr"/>
      <c r="J8" s="22" t="inlineStr"/>
      <c r="K8" s="22" t="inlineStr"/>
      <c r="L8" s="22" t="inlineStr"/>
      <c r="M8" s="22" t="inlineStr"/>
      <c r="N8" s="22" t="inlineStr"/>
      <c r="O8" s="22" t="inlineStr"/>
      <c r="P8" s="21" t="inlineStr"/>
      <c r="Q8" s="22" t="inlineStr"/>
      <c r="R8" s="10">
        <f>IF(AND(A8="",E8="",H8="",I8=""),"",IF(OR(A8="",E8="",H8="",I8=""),"✗ Required missing",IF(P8="APPROVED","✓ APPROVED","Set col P = APPROVED")))</f>
        <v/>
      </c>
    </row>
    <row r="9" ht="18" customHeight="1">
      <c r="A9" s="21" t="inlineStr"/>
      <c r="B9" s="21" t="inlineStr"/>
      <c r="C9" s="23" t="inlineStr"/>
      <c r="D9" s="23" t="inlineStr"/>
      <c r="E9" s="21" t="inlineStr"/>
      <c r="F9" s="23" t="inlineStr"/>
      <c r="G9" s="23" t="inlineStr"/>
      <c r="H9" s="21" t="inlineStr"/>
      <c r="I9" s="21" t="inlineStr"/>
      <c r="J9" s="23" t="inlineStr"/>
      <c r="K9" s="23" t="inlineStr"/>
      <c r="L9" s="23" t="inlineStr"/>
      <c r="M9" s="23" t="inlineStr"/>
      <c r="N9" s="23" t="inlineStr"/>
      <c r="O9" s="23" t="inlineStr"/>
      <c r="P9" s="21" t="inlineStr"/>
      <c r="Q9" s="23" t="inlineStr"/>
      <c r="R9" s="8">
        <f>IF(AND(A9="",E9="",H9="",I9=""),"",IF(OR(A9="",E9="",H9="",I9=""),"✗ Required missing",IF(P9="APPROVED","✓ APPROVED","Set col P = APPROVED")))</f>
        <v/>
      </c>
    </row>
    <row r="10" ht="18" customHeight="1">
      <c r="A10" s="21" t="inlineStr"/>
      <c r="B10" s="21" t="inlineStr"/>
      <c r="C10" s="22" t="inlineStr"/>
      <c r="D10" s="22" t="inlineStr"/>
      <c r="E10" s="21" t="inlineStr"/>
      <c r="F10" s="22" t="inlineStr"/>
      <c r="G10" s="22" t="inlineStr"/>
      <c r="H10" s="21" t="inlineStr"/>
      <c r="I10" s="21" t="inlineStr"/>
      <c r="J10" s="22" t="inlineStr"/>
      <c r="K10" s="22" t="inlineStr"/>
      <c r="L10" s="22" t="inlineStr"/>
      <c r="M10" s="22" t="inlineStr"/>
      <c r="N10" s="22" t="inlineStr"/>
      <c r="O10" s="22" t="inlineStr"/>
      <c r="P10" s="21" t="inlineStr"/>
      <c r="Q10" s="22" t="inlineStr"/>
      <c r="R10" s="10">
        <f>IF(AND(A10="",E10="",H10="",I10=""),"",IF(OR(A10="",E10="",H10="",I10=""),"✗ Required missing",IF(P10="APPROVED","✓ APPROVED","Set col P = APPROVED")))</f>
        <v/>
      </c>
    </row>
    <row r="11" ht="18" customHeight="1">
      <c r="A11" s="21" t="inlineStr"/>
      <c r="B11" s="21" t="inlineStr"/>
      <c r="C11" s="23" t="inlineStr"/>
      <c r="D11" s="23" t="inlineStr"/>
      <c r="E11" s="21" t="inlineStr"/>
      <c r="F11" s="23" t="inlineStr"/>
      <c r="G11" s="23" t="inlineStr"/>
      <c r="H11" s="21" t="inlineStr"/>
      <c r="I11" s="21" t="inlineStr"/>
      <c r="J11" s="23" t="inlineStr"/>
      <c r="K11" s="23" t="inlineStr"/>
      <c r="L11" s="23" t="inlineStr"/>
      <c r="M11" s="23" t="inlineStr"/>
      <c r="N11" s="23" t="inlineStr"/>
      <c r="O11" s="23" t="inlineStr"/>
      <c r="P11" s="21" t="inlineStr"/>
      <c r="Q11" s="23" t="inlineStr"/>
      <c r="R11" s="8">
        <f>IF(AND(A11="",E11="",H11="",I11=""),"",IF(OR(A11="",E11="",H11="",I11=""),"✗ Required missing",IF(P11="APPROVED","✓ APPROVED","Set col P = APPROVED")))</f>
        <v/>
      </c>
    </row>
    <row r="12" ht="18" customHeight="1">
      <c r="A12" s="21" t="inlineStr"/>
      <c r="B12" s="21" t="inlineStr"/>
      <c r="C12" s="22" t="inlineStr"/>
      <c r="D12" s="22" t="inlineStr"/>
      <c r="E12" s="21" t="inlineStr"/>
      <c r="F12" s="22" t="inlineStr"/>
      <c r="G12" s="22" t="inlineStr"/>
      <c r="H12" s="21" t="inlineStr"/>
      <c r="I12" s="21" t="inlineStr"/>
      <c r="J12" s="22" t="inlineStr"/>
      <c r="K12" s="22" t="inlineStr"/>
      <c r="L12" s="22" t="inlineStr"/>
      <c r="M12" s="22" t="inlineStr"/>
      <c r="N12" s="22" t="inlineStr"/>
      <c r="O12" s="22" t="inlineStr"/>
      <c r="P12" s="21" t="inlineStr"/>
      <c r="Q12" s="22" t="inlineStr"/>
      <c r="R12" s="10">
        <f>IF(AND(A12="",E12="",H12="",I12=""),"",IF(OR(A12="",E12="",H12="",I12=""),"✗ Required missing",IF(P12="APPROVED","✓ APPROVED","Set col P = APPROVED")))</f>
        <v/>
      </c>
    </row>
    <row r="13" ht="18" customHeight="1">
      <c r="A13" s="21" t="inlineStr"/>
      <c r="B13" s="21" t="inlineStr"/>
      <c r="C13" s="23" t="inlineStr"/>
      <c r="D13" s="23" t="inlineStr"/>
      <c r="E13" s="21" t="inlineStr"/>
      <c r="F13" s="23" t="inlineStr"/>
      <c r="G13" s="23" t="inlineStr"/>
      <c r="H13" s="21" t="inlineStr"/>
      <c r="I13" s="21" t="inlineStr"/>
      <c r="J13" s="23" t="inlineStr"/>
      <c r="K13" s="23" t="inlineStr"/>
      <c r="L13" s="23" t="inlineStr"/>
      <c r="M13" s="23" t="inlineStr"/>
      <c r="N13" s="23" t="inlineStr"/>
      <c r="O13" s="23" t="inlineStr"/>
      <c r="P13" s="21" t="inlineStr"/>
      <c r="Q13" s="23" t="inlineStr"/>
      <c r="R13" s="8">
        <f>IF(AND(A13="",E13="",H13="",I13=""),"",IF(OR(A13="",E13="",H13="",I13=""),"✗ Required missing",IF(P13="APPROVED","✓ APPROVED","Set col P = APPROVED")))</f>
        <v/>
      </c>
    </row>
    <row r="14" ht="18" customHeight="1">
      <c r="A14" s="21" t="inlineStr"/>
      <c r="B14" s="21" t="inlineStr"/>
      <c r="C14" s="22" t="inlineStr"/>
      <c r="D14" s="22" t="inlineStr"/>
      <c r="E14" s="21" t="inlineStr"/>
      <c r="F14" s="22" t="inlineStr"/>
      <c r="G14" s="22" t="inlineStr"/>
      <c r="H14" s="21" t="inlineStr"/>
      <c r="I14" s="21" t="inlineStr"/>
      <c r="J14" s="22" t="inlineStr"/>
      <c r="K14" s="22" t="inlineStr"/>
      <c r="L14" s="22" t="inlineStr"/>
      <c r="M14" s="22" t="inlineStr"/>
      <c r="N14" s="22" t="inlineStr"/>
      <c r="O14" s="22" t="inlineStr"/>
      <c r="P14" s="21" t="inlineStr"/>
      <c r="Q14" s="22" t="inlineStr"/>
      <c r="R14" s="10">
        <f>IF(AND(A14="",E14="",H14="",I14=""),"",IF(OR(A14="",E14="",H14="",I14=""),"✗ Required missing",IF(P14="APPROVED","✓ APPROVED","Set col P = APPROVED")))</f>
        <v/>
      </c>
    </row>
    <row r="15" ht="18" customHeight="1">
      <c r="A15" s="21" t="inlineStr"/>
      <c r="B15" s="21" t="inlineStr"/>
      <c r="C15" s="23" t="inlineStr"/>
      <c r="D15" s="23" t="inlineStr"/>
      <c r="E15" s="21" t="inlineStr"/>
      <c r="F15" s="23" t="inlineStr"/>
      <c r="G15" s="23" t="inlineStr"/>
      <c r="H15" s="21" t="inlineStr"/>
      <c r="I15" s="21" t="inlineStr"/>
      <c r="J15" s="23" t="inlineStr"/>
      <c r="K15" s="23" t="inlineStr"/>
      <c r="L15" s="23" t="inlineStr"/>
      <c r="M15" s="23" t="inlineStr"/>
      <c r="N15" s="23" t="inlineStr"/>
      <c r="O15" s="23" t="inlineStr"/>
      <c r="P15" s="21" t="inlineStr"/>
      <c r="Q15" s="23" t="inlineStr"/>
      <c r="R15" s="8">
        <f>IF(AND(A15="",E15="",H15="",I15=""),"",IF(OR(A15="",E15="",H15="",I15=""),"✗ Required missing",IF(P15="APPROVED","✓ APPROVED","Set col P = APPROVED")))</f>
        <v/>
      </c>
    </row>
    <row r="16" ht="18" customHeight="1">
      <c r="A16" s="21" t="inlineStr"/>
      <c r="B16" s="21" t="inlineStr"/>
      <c r="C16" s="22" t="inlineStr"/>
      <c r="D16" s="22" t="inlineStr"/>
      <c r="E16" s="21" t="inlineStr"/>
      <c r="F16" s="22" t="inlineStr"/>
      <c r="G16" s="22" t="inlineStr"/>
      <c r="H16" s="21" t="inlineStr"/>
      <c r="I16" s="21" t="inlineStr"/>
      <c r="J16" s="22" t="inlineStr"/>
      <c r="K16" s="22" t="inlineStr"/>
      <c r="L16" s="22" t="inlineStr"/>
      <c r="M16" s="22" t="inlineStr"/>
      <c r="N16" s="22" t="inlineStr"/>
      <c r="O16" s="22" t="inlineStr"/>
      <c r="P16" s="21" t="inlineStr"/>
      <c r="Q16" s="22" t="inlineStr"/>
      <c r="R16" s="10">
        <f>IF(AND(A16="",E16="",H16="",I16=""),"",IF(OR(A16="",E16="",H16="",I16=""),"✗ Required missing",IF(P16="APPROVED","✓ APPROVED","Set col P = APPROVED")))</f>
        <v/>
      </c>
    </row>
    <row r="17" ht="18" customHeight="1">
      <c r="A17" s="21" t="inlineStr"/>
      <c r="B17" s="21" t="inlineStr"/>
      <c r="C17" s="23" t="inlineStr"/>
      <c r="D17" s="23" t="inlineStr"/>
      <c r="E17" s="21" t="inlineStr"/>
      <c r="F17" s="23" t="inlineStr"/>
      <c r="G17" s="23" t="inlineStr"/>
      <c r="H17" s="21" t="inlineStr"/>
      <c r="I17" s="21" t="inlineStr"/>
      <c r="J17" s="23" t="inlineStr"/>
      <c r="K17" s="23" t="inlineStr"/>
      <c r="L17" s="23" t="inlineStr"/>
      <c r="M17" s="23" t="inlineStr"/>
      <c r="N17" s="23" t="inlineStr"/>
      <c r="O17" s="23" t="inlineStr"/>
      <c r="P17" s="21" t="inlineStr"/>
      <c r="Q17" s="23" t="inlineStr"/>
      <c r="R17" s="8">
        <f>IF(AND(A17="",E17="",H17="",I17=""),"",IF(OR(A17="",E17="",H17="",I17=""),"✗ Required missing",IF(P17="APPROVED","✓ APPROVED","Set col P = APPROVED")))</f>
        <v/>
      </c>
    </row>
    <row r="18" ht="18" customHeight="1">
      <c r="A18" s="21" t="inlineStr"/>
      <c r="B18" s="21" t="inlineStr"/>
      <c r="C18" s="22" t="inlineStr"/>
      <c r="D18" s="22" t="inlineStr"/>
      <c r="E18" s="21" t="inlineStr"/>
      <c r="F18" s="22" t="inlineStr"/>
      <c r="G18" s="22" t="inlineStr"/>
      <c r="H18" s="21" t="inlineStr"/>
      <c r="I18" s="21" t="inlineStr"/>
      <c r="J18" s="22" t="inlineStr"/>
      <c r="K18" s="22" t="inlineStr"/>
      <c r="L18" s="22" t="inlineStr"/>
      <c r="M18" s="22" t="inlineStr"/>
      <c r="N18" s="22" t="inlineStr"/>
      <c r="O18" s="22" t="inlineStr"/>
      <c r="P18" s="21" t="inlineStr"/>
      <c r="Q18" s="22" t="inlineStr"/>
      <c r="R18" s="10">
        <f>IF(AND(A18="",E18="",H18="",I18=""),"",IF(OR(A18="",E18="",H18="",I18=""),"✗ Required missing",IF(P18="APPROVED","✓ APPROVED","Set col P = APPROVED")))</f>
        <v/>
      </c>
    </row>
    <row r="19" ht="18" customHeight="1">
      <c r="A19" s="21" t="inlineStr"/>
      <c r="B19" s="21" t="inlineStr"/>
      <c r="C19" s="23" t="inlineStr"/>
      <c r="D19" s="23" t="inlineStr"/>
      <c r="E19" s="21" t="inlineStr"/>
      <c r="F19" s="23" t="inlineStr"/>
      <c r="G19" s="23" t="inlineStr"/>
      <c r="H19" s="21" t="inlineStr"/>
      <c r="I19" s="21" t="inlineStr"/>
      <c r="J19" s="23" t="inlineStr"/>
      <c r="K19" s="23" t="inlineStr"/>
      <c r="L19" s="23" t="inlineStr"/>
      <c r="M19" s="23" t="inlineStr"/>
      <c r="N19" s="23" t="inlineStr"/>
      <c r="O19" s="23" t="inlineStr"/>
      <c r="P19" s="21" t="inlineStr"/>
      <c r="Q19" s="23" t="inlineStr"/>
      <c r="R19" s="8">
        <f>IF(AND(A19="",E19="",H19="",I19=""),"",IF(OR(A19="",E19="",H19="",I19=""),"✗ Required missing",IF(P19="APPROVED","✓ APPROVED","Set col P = APPROVED")))</f>
        <v/>
      </c>
    </row>
    <row r="20" ht="18" customHeight="1">
      <c r="A20" s="21" t="inlineStr"/>
      <c r="B20" s="21" t="inlineStr"/>
      <c r="C20" s="22" t="inlineStr"/>
      <c r="D20" s="22" t="inlineStr"/>
      <c r="E20" s="21" t="inlineStr"/>
      <c r="F20" s="22" t="inlineStr"/>
      <c r="G20" s="22" t="inlineStr"/>
      <c r="H20" s="21" t="inlineStr"/>
      <c r="I20" s="21" t="inlineStr"/>
      <c r="J20" s="22" t="inlineStr"/>
      <c r="K20" s="22" t="inlineStr"/>
      <c r="L20" s="22" t="inlineStr"/>
      <c r="M20" s="22" t="inlineStr"/>
      <c r="N20" s="22" t="inlineStr"/>
      <c r="O20" s="22" t="inlineStr"/>
      <c r="P20" s="21" t="inlineStr"/>
      <c r="Q20" s="22" t="inlineStr"/>
      <c r="R20" s="10">
        <f>IF(AND(A20="",E20="",H20="",I20=""),"",IF(OR(A20="",E20="",H20="",I20=""),"✗ Required missing",IF(P20="APPROVED","✓ APPROVED","Set col P = APPROVED")))</f>
        <v/>
      </c>
    </row>
    <row r="22">
      <c r="A22" s="3" t="inlineStr">
        <is>
          <t>LIVE NPI SUMMARY</t>
        </is>
      </c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16" t="n"/>
    </row>
    <row r="23" ht="24" customHeight="1">
      <c r="A23" s="4" t="inlineStr">
        <is>
          <t>NPIs entered</t>
        </is>
      </c>
      <c r="B23" s="24" t="n"/>
      <c r="C23" s="16" t="n"/>
      <c r="D23" s="4" t="inlineStr">
        <is>
          <t>Approved</t>
        </is>
      </c>
      <c r="E23" s="24" t="n"/>
      <c r="F23" s="16" t="n"/>
      <c r="G23" s="4" t="inlineStr">
        <is>
          <t>Pending</t>
        </is>
      </c>
      <c r="H23" s="24" t="n"/>
      <c r="I23" s="16" t="n"/>
      <c r="J23" s="4" t="inlineStr">
        <is>
          <t>Total initial fill</t>
        </is>
      </c>
      <c r="K23" s="24" t="n"/>
      <c r="L23" s="16" t="n"/>
      <c r="M23" s="4" t="inlineStr">
        <is>
          <t>Approval rate</t>
        </is>
      </c>
      <c r="N23" s="24" t="n"/>
      <c r="O23" s="16" t="n"/>
    </row>
    <row r="24" ht="30" customHeight="1">
      <c r="A24" s="17">
        <f>COUNTA(A6:A20)</f>
        <v/>
      </c>
      <c r="B24" s="24" t="n"/>
      <c r="C24" s="16" t="n"/>
      <c r="D24" s="17">
        <f>COUNTIF(P6:P20,"APPROVED")</f>
        <v/>
      </c>
      <c r="E24" s="24" t="n"/>
      <c r="F24" s="16" t="n"/>
      <c r="G24" s="17">
        <f>COUNTA(P6:P20)-COUNTIF(P6:P20,"APPROVED")</f>
        <v/>
      </c>
      <c r="H24" s="24" t="n"/>
      <c r="I24" s="16" t="n"/>
      <c r="J24" s="17">
        <f>IFERROR(SUM(I6:I20),0)</f>
        <v/>
      </c>
      <c r="K24" s="24" t="n"/>
      <c r="L24" s="16" t="n"/>
      <c r="M24" s="25">
        <f>IFERROR(COUNTIF(P6:P20,"APPROVED")/COUNTA(P6:P20),0)</f>
        <v/>
      </c>
      <c r="N24" s="24" t="n"/>
      <c r="O24" s="16" t="n"/>
    </row>
  </sheetData>
  <mergeCells count="14">
    <mergeCell ref="G24:I24"/>
    <mergeCell ref="J24:L24"/>
    <mergeCell ref="M23:O23"/>
    <mergeCell ref="D23:F23"/>
    <mergeCell ref="A23:C23"/>
    <mergeCell ref="A2:R2"/>
    <mergeCell ref="D24:F24"/>
    <mergeCell ref="G23:I23"/>
    <mergeCell ref="J23:L23"/>
    <mergeCell ref="A1:R1"/>
    <mergeCell ref="M24:O24"/>
    <mergeCell ref="A24:C24"/>
    <mergeCell ref="A22:R22"/>
    <mergeCell ref="A4:R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22" customWidth="1" min="5" max="5"/>
    <col width="16" customWidth="1" min="6" max="6"/>
    <col width="14" customWidth="1" min="7" max="7"/>
    <col width="20" customWidth="1" min="8" max="8"/>
    <col width="32" customWidth="1" min="9" max="9"/>
    <col width="22" customWidth="1" min="10" max="10"/>
  </cols>
  <sheetData>
    <row r="1" ht="24" customHeight="1">
      <c r="A1" s="13" t="inlineStr">
        <is>
          <t>MARGIN REPOSITORY STATUS  |  CM2 reporting BLOCKED until Finance sets approval_status = FINANCE_APPROVED</t>
        </is>
      </c>
    </row>
    <row r="2" ht="24" customHeight="1">
      <c r="A2" s="2" t="inlineStr">
        <is>
          <t>DERIVED = computed from offtake (directional, not Finance-approved).  ESTIMATED = placeholder MRP ₹250, margin 30%, cm2 15% — must be replaced with real Finance data.  Negative margin_pct = data quality issue — must be resolved before CM2 reporting.</t>
        </is>
      </c>
    </row>
    <row r="3" ht="28" customHeight="1">
      <c r="A3" s="7" t="inlineStr">
        <is>
          <t>quality_status</t>
        </is>
      </c>
      <c r="B3" s="7" t="inlineStr">
        <is>
          <t>count_rows</t>
        </is>
      </c>
      <c r="C3" s="7" t="inlineStr">
        <is>
          <t>count_eans</t>
        </is>
      </c>
      <c r="D3" s="7" t="inlineStr">
        <is>
          <t>count_chains</t>
        </is>
      </c>
      <c r="E3" s="7" t="inlineStr">
        <is>
          <t>avg_mrp (₹)</t>
        </is>
      </c>
      <c r="F3" s="7" t="inlineStr">
        <is>
          <t>avg_margin_pct (%)</t>
        </is>
      </c>
      <c r="G3" s="7" t="inlineStr">
        <is>
          <t>avg_cm2_pct (%)</t>
        </is>
      </c>
      <c r="H3" s="7" t="inlineStr">
        <is>
          <t>negative_margin_rows</t>
        </is>
      </c>
      <c r="I3" s="7" t="inlineStr">
        <is>
          <t>approval_status_required</t>
        </is>
      </c>
      <c r="J3" s="7" t="inlineStr">
        <is>
          <t>owner</t>
        </is>
      </c>
    </row>
    <row r="4" ht="22" customHeight="1">
      <c r="A4" s="26" t="inlineStr">
        <is>
          <t>DERIVED</t>
        </is>
      </c>
      <c r="B4" s="23" t="n">
        <v>2113</v>
      </c>
      <c r="C4" s="23" t="n">
        <v>507</v>
      </c>
      <c r="D4" s="23" t="n">
        <v>25</v>
      </c>
      <c r="E4" s="23" t="inlineStr">
        <is>
          <t>₹21597</t>
        </is>
      </c>
      <c r="F4" s="23" t="inlineStr">
        <is>
          <t>44.2%</t>
        </is>
      </c>
      <c r="G4" s="23" t="inlineStr">
        <is>
          <t>2591.6%</t>
        </is>
      </c>
      <c r="H4" s="27" t="n">
        <v>2</v>
      </c>
      <c r="I4" s="23" t="inlineStr">
        <is>
          <t>FINANCE_APPROVED required</t>
        </is>
      </c>
      <c r="J4" s="23" t="inlineStr">
        <is>
          <t>Finance Controller</t>
        </is>
      </c>
    </row>
    <row r="5" ht="22" customHeight="1">
      <c r="A5" s="27" t="inlineStr">
        <is>
          <t>ESTIMATED</t>
        </is>
      </c>
      <c r="B5" s="22" t="n">
        <v>933</v>
      </c>
      <c r="C5" s="22" t="n">
        <v>933</v>
      </c>
      <c r="D5" s="22" t="n">
        <v>1</v>
      </c>
      <c r="E5" s="22" t="inlineStr">
        <is>
          <t>₹250 (PLACEHOLDER)</t>
        </is>
      </c>
      <c r="F5" s="22" t="inlineStr">
        <is>
          <t>30.0%</t>
        </is>
      </c>
      <c r="G5" s="22" t="inlineStr">
        <is>
          <t>15.0%</t>
        </is>
      </c>
      <c r="H5" s="22" t="n">
        <v>0</v>
      </c>
      <c r="I5" s="22" t="inlineStr">
        <is>
          <t>REPLACE WITH REAL DATA — BLOCKED</t>
        </is>
      </c>
      <c r="J5" s="22" t="inlineStr">
        <is>
          <t>Finance + Category</t>
        </is>
      </c>
    </row>
    <row r="7" ht="20" customHeight="1">
      <c r="A7" s="3" t="inlineStr">
        <is>
          <t>DATA QUALITY ISSUES — must resolve before Finance sign-off</t>
        </is>
      </c>
      <c r="B7" s="24" t="n"/>
      <c r="C7" s="24" t="n"/>
      <c r="D7" s="24" t="n"/>
      <c r="E7" s="24" t="n"/>
      <c r="F7" s="24" t="n"/>
      <c r="G7" s="24" t="n"/>
      <c r="H7" s="24" t="n"/>
      <c r="I7" s="24" t="n"/>
      <c r="J7" s="16" t="n"/>
    </row>
    <row r="8" ht="28" customHeight="1">
      <c r="A8" s="7" t="inlineStr">
        <is>
          <t>ean</t>
        </is>
      </c>
      <c r="B8" s="7" t="inlineStr">
        <is>
          <t>chain</t>
        </is>
      </c>
      <c r="C8" s="7" t="inlineStr">
        <is>
          <t>brand</t>
        </is>
      </c>
      <c r="D8" s="7" t="inlineStr">
        <is>
          <t>article</t>
        </is>
      </c>
      <c r="E8" s="7" t="inlineStr">
        <is>
          <t>month</t>
        </is>
      </c>
      <c r="F8" s="7" t="inlineStr">
        <is>
          <t>mrp</t>
        </is>
      </c>
      <c r="G8" s="7" t="inlineStr">
        <is>
          <t>margin_pct</t>
        </is>
      </c>
      <c r="H8" s="7" t="inlineStr">
        <is>
          <t>issue_type</t>
        </is>
      </c>
      <c r="I8" s="7" t="inlineStr">
        <is>
          <t>recommended_action</t>
        </is>
      </c>
      <c r="J8" s="7" t="inlineStr">
        <is>
          <t>owner</t>
        </is>
      </c>
    </row>
    <row r="9" ht="20" customHeight="1">
      <c r="A9" s="8" t="inlineStr">
        <is>
          <t>8904417314298</t>
        </is>
      </c>
      <c r="B9" s="8" t="inlineStr">
        <is>
          <t>VMM</t>
        </is>
      </c>
      <c r="C9" s="8" t="inlineStr">
        <is>
          <t>Mamaearth</t>
        </is>
      </c>
      <c r="D9" s="8" t="inlineStr">
        <is>
          <t>Rice Dewy Bright Face Wash</t>
        </is>
      </c>
      <c r="E9" s="8" t="inlineStr">
        <is>
          <t>2026-04</t>
        </is>
      </c>
      <c r="F9" s="8" t="inlineStr">
        <is>
          <t>750</t>
        </is>
      </c>
      <c r="G9" s="8" t="inlineStr">
        <is>
          <t>−84.64</t>
        </is>
      </c>
      <c r="H9" s="28" t="inlineStr">
        <is>
          <t>NEGATIVE_MARGIN</t>
        </is>
      </c>
      <c r="I9" s="8" t="inlineStr">
        <is>
          <t>Reclassify as return/credit memo or exclude from master</t>
        </is>
      </c>
      <c r="J9" s="8" t="inlineStr">
        <is>
          <t>MDM / Finance</t>
        </is>
      </c>
    </row>
    <row r="10" ht="20" customHeight="1">
      <c r="A10" s="10" t="inlineStr">
        <is>
          <t>8904417312546</t>
        </is>
      </c>
      <c r="B10" s="10" t="inlineStr">
        <is>
          <t>VMM</t>
        </is>
      </c>
      <c r="C10" s="10" t="inlineStr">
        <is>
          <t>Mamaearth</t>
        </is>
      </c>
      <c r="D10" s="10" t="inlineStr">
        <is>
          <t>Vitamin C Face Wash 150 ml</t>
        </is>
      </c>
      <c r="E10" s="10" t="inlineStr">
        <is>
          <t>2026-04</t>
        </is>
      </c>
      <c r="F10" s="10" t="inlineStr">
        <is>
          <t>562.5</t>
        </is>
      </c>
      <c r="G10" s="10" t="inlineStr">
        <is>
          <t>−84.64</t>
        </is>
      </c>
      <c r="H10" s="28" t="inlineStr">
        <is>
          <t>NEGATIVE_MARGIN</t>
        </is>
      </c>
      <c r="I10" s="10" t="inlineStr">
        <is>
          <t>Reclassify as return/credit memo or exclude from master</t>
        </is>
      </c>
      <c r="J10" s="10" t="inlineStr">
        <is>
          <t>MDM / Finance</t>
        </is>
      </c>
    </row>
    <row r="13" ht="20" customHeight="1">
      <c r="A13" s="3" t="inlineStr">
        <is>
          <t>REQUIRED FULL MARGIN SCHEMA — provide to Finance for export</t>
        </is>
      </c>
      <c r="B13" s="24" t="n"/>
      <c r="C13" s="24" t="n"/>
      <c r="D13" s="24" t="n"/>
      <c r="E13" s="24" t="n"/>
      <c r="F13" s="24" t="n"/>
      <c r="G13" s="24" t="n"/>
      <c r="H13" s="24" t="n"/>
      <c r="I13" s="24" t="n"/>
      <c r="J13" s="16" t="n"/>
    </row>
    <row r="14" ht="24" customHeight="1">
      <c r="A14" s="7" t="inlineStr">
        <is>
          <t>column_name</t>
        </is>
      </c>
      <c r="B14" s="7" t="inlineStr">
        <is>
          <t>format</t>
        </is>
      </c>
      <c r="C14" s="7" t="inlineStr">
        <is>
          <t>required</t>
        </is>
      </c>
      <c r="D14" s="7" t="inlineStr">
        <is>
          <t>owner</t>
        </is>
      </c>
      <c r="E14" s="7" t="inlineStr">
        <is>
          <t>current_status</t>
        </is>
      </c>
    </row>
    <row r="15" ht="18" customHeight="1">
      <c r="A15" s="8" t="inlineStr">
        <is>
          <t>month</t>
        </is>
      </c>
      <c r="B15" s="8" t="inlineStr">
        <is>
          <t>YYYY-MM</t>
        </is>
      </c>
      <c r="C15" s="11" t="inlineStr">
        <is>
          <t>REQUIRED</t>
        </is>
      </c>
      <c r="D15" s="8" t="inlineStr">
        <is>
          <t>Finance</t>
        </is>
      </c>
      <c r="E15" s="8" t="inlineStr">
        <is>
          <t>Present (DERIVED/ESTIMATED)</t>
        </is>
      </c>
    </row>
    <row r="16" ht="18" customHeight="1">
      <c r="A16" s="10" t="inlineStr">
        <is>
          <t>chain_name</t>
        </is>
      </c>
      <c r="B16" s="10" t="inlineStr">
        <is>
          <t>text</t>
        </is>
      </c>
      <c r="C16" s="11" t="inlineStr">
        <is>
          <t>REQUIRED</t>
        </is>
      </c>
      <c r="D16" s="10" t="inlineStr">
        <is>
          <t>Finance</t>
        </is>
      </c>
      <c r="E16" s="10" t="inlineStr">
        <is>
          <t>Present</t>
        </is>
      </c>
    </row>
    <row r="17" ht="18" customHeight="1">
      <c r="A17" s="8" t="inlineStr">
        <is>
          <t>ean</t>
        </is>
      </c>
      <c r="B17" s="8" t="inlineStr">
        <is>
          <t>text</t>
        </is>
      </c>
      <c r="C17" s="11" t="inlineStr">
        <is>
          <t>REQUIRED</t>
        </is>
      </c>
      <c r="D17" s="8" t="inlineStr">
        <is>
          <t>Finance</t>
        </is>
      </c>
      <c r="E17" s="8" t="inlineStr">
        <is>
          <t>Present</t>
        </is>
      </c>
    </row>
    <row r="18" ht="18" customHeight="1">
      <c r="A18" s="10" t="inlineStr">
        <is>
          <t>mrp</t>
        </is>
      </c>
      <c r="B18" s="10" t="inlineStr">
        <is>
          <t>₹ per unit</t>
        </is>
      </c>
      <c r="C18" s="11" t="inlineStr">
        <is>
          <t>REQUIRED</t>
        </is>
      </c>
      <c r="D18" s="10" t="inlineStr">
        <is>
          <t>Finance</t>
        </is>
      </c>
      <c r="E18" s="10" t="inlineStr">
        <is>
          <t>Present — ESTIMATED rows = ₹250 placeholder</t>
        </is>
      </c>
    </row>
    <row r="19" ht="18" customHeight="1">
      <c r="A19" s="8" t="inlineStr">
        <is>
          <t>gst_pct</t>
        </is>
      </c>
      <c r="B19" s="8" t="inlineStr">
        <is>
          <t>%</t>
        </is>
      </c>
      <c r="C19" s="11" t="inlineStr">
        <is>
          <t>REQUIRED</t>
        </is>
      </c>
      <c r="D19" s="8" t="inlineStr">
        <is>
          <t>Finance</t>
        </is>
      </c>
      <c r="E19" s="11" t="inlineStr">
        <is>
          <t>MISSING</t>
        </is>
      </c>
    </row>
    <row r="20" ht="18" customHeight="1">
      <c r="A20" s="10" t="inlineStr">
        <is>
          <t>invoice_discount_pct</t>
        </is>
      </c>
      <c r="B20" s="10" t="inlineStr">
        <is>
          <t>%</t>
        </is>
      </c>
      <c r="C20" s="11" t="inlineStr">
        <is>
          <t>REQUIRED</t>
        </is>
      </c>
      <c r="D20" s="10" t="inlineStr">
        <is>
          <t>Finance</t>
        </is>
      </c>
      <c r="E20" s="11" t="inlineStr">
        <is>
          <t>MISSING</t>
        </is>
      </c>
    </row>
    <row r="21" ht="18" customHeight="1">
      <c r="A21" s="8" t="inlineStr">
        <is>
          <t>off_invoice_discount_pct</t>
        </is>
      </c>
      <c r="B21" s="8" t="inlineStr">
        <is>
          <t>%</t>
        </is>
      </c>
      <c r="C21" s="11" t="inlineStr">
        <is>
          <t>REQUIRED</t>
        </is>
      </c>
      <c r="D21" s="8" t="inlineStr">
        <is>
          <t>Finance</t>
        </is>
      </c>
      <c r="E21" s="11" t="inlineStr">
        <is>
          <t>MISSING</t>
        </is>
      </c>
    </row>
    <row r="22" ht="18" customHeight="1">
      <c r="A22" s="10" t="inlineStr">
        <is>
          <t>tot_pct</t>
        </is>
      </c>
      <c r="B22" s="10" t="inlineStr">
        <is>
          <t>%</t>
        </is>
      </c>
      <c r="C22" s="11" t="inlineStr">
        <is>
          <t>REQUIRED</t>
        </is>
      </c>
      <c r="D22" s="10" t="inlineStr">
        <is>
          <t>Finance</t>
        </is>
      </c>
      <c r="E22" s="10" t="inlineStr">
        <is>
          <t>Present (as tot_pct)</t>
        </is>
      </c>
    </row>
    <row r="23" ht="18" customHeight="1">
      <c r="A23" s="8" t="inlineStr">
        <is>
          <t>trade_margin_pct</t>
        </is>
      </c>
      <c r="B23" s="8" t="inlineStr">
        <is>
          <t>%</t>
        </is>
      </c>
      <c r="C23" s="11" t="inlineStr">
        <is>
          <t>REQUIRED</t>
        </is>
      </c>
      <c r="D23" s="8" t="inlineStr">
        <is>
          <t>Finance</t>
        </is>
      </c>
      <c r="E23" s="8" t="inlineStr">
        <is>
          <t>Present as margin_pct — name mismatch</t>
        </is>
      </c>
    </row>
    <row r="24" ht="18" customHeight="1">
      <c r="A24" s="10" t="inlineStr">
        <is>
          <t>cogs_per_unit</t>
        </is>
      </c>
      <c r="B24" s="10" t="inlineStr">
        <is>
          <t>₹</t>
        </is>
      </c>
      <c r="C24" s="11" t="inlineStr">
        <is>
          <t>REQUIRED</t>
        </is>
      </c>
      <c r="D24" s="10" t="inlineStr">
        <is>
          <t>Finance</t>
        </is>
      </c>
      <c r="E24" s="11" t="inlineStr">
        <is>
          <t>MISSING</t>
        </is>
      </c>
    </row>
    <row r="25" ht="18" customHeight="1">
      <c r="A25" s="8" t="inlineStr">
        <is>
          <t>claim_per_unit</t>
        </is>
      </c>
      <c r="B25" s="8" t="inlineStr">
        <is>
          <t>₹</t>
        </is>
      </c>
      <c r="C25" s="9" t="inlineStr">
        <is>
          <t>OPTIONAL</t>
        </is>
      </c>
      <c r="D25" s="8" t="inlineStr">
        <is>
          <t>Finance</t>
        </is>
      </c>
      <c r="E25" s="11" t="inlineStr">
        <is>
          <t>MISSING</t>
        </is>
      </c>
    </row>
    <row r="26" ht="18" customHeight="1">
      <c r="A26" s="10" t="inlineStr">
        <is>
          <t>ba_cost_per_unit</t>
        </is>
      </c>
      <c r="B26" s="10" t="inlineStr">
        <is>
          <t>₹</t>
        </is>
      </c>
      <c r="C26" s="9" t="inlineStr">
        <is>
          <t>OPTIONAL</t>
        </is>
      </c>
      <c r="D26" s="10" t="inlineStr">
        <is>
          <t>Finance</t>
        </is>
      </c>
      <c r="E26" s="11" t="inlineStr">
        <is>
          <t>MISSING</t>
        </is>
      </c>
    </row>
    <row r="27" ht="18" customHeight="1">
      <c r="A27" s="8" t="inlineStr">
        <is>
          <t>visibility_cost_per_unit</t>
        </is>
      </c>
      <c r="B27" s="8" t="inlineStr">
        <is>
          <t>₹</t>
        </is>
      </c>
      <c r="C27" s="9" t="inlineStr">
        <is>
          <t>OPTIONAL</t>
        </is>
      </c>
      <c r="D27" s="8" t="inlineStr">
        <is>
          <t>Finance</t>
        </is>
      </c>
      <c r="E27" s="11" t="inlineStr">
        <is>
          <t>MISSING</t>
        </is>
      </c>
    </row>
    <row r="28" ht="18" customHeight="1">
      <c r="A28" s="10" t="inlineStr">
        <is>
          <t>rental_cost_per_unit</t>
        </is>
      </c>
      <c r="B28" s="10" t="inlineStr">
        <is>
          <t>₹</t>
        </is>
      </c>
      <c r="C28" s="9" t="inlineStr">
        <is>
          <t>OPTIONAL</t>
        </is>
      </c>
      <c r="D28" s="10" t="inlineStr">
        <is>
          <t>Finance</t>
        </is>
      </c>
      <c r="E28" s="11" t="inlineStr">
        <is>
          <t>MISSING</t>
        </is>
      </c>
    </row>
    <row r="29" ht="18" customHeight="1">
      <c r="A29" s="8" t="inlineStr">
        <is>
          <t>cm1_pct</t>
        </is>
      </c>
      <c r="B29" s="8" t="inlineStr">
        <is>
          <t>%</t>
        </is>
      </c>
      <c r="C29" s="11" t="inlineStr">
        <is>
          <t>REQUIRED</t>
        </is>
      </c>
      <c r="D29" s="8" t="inlineStr">
        <is>
          <t>Finance</t>
        </is>
      </c>
      <c r="E29" s="11" t="inlineStr">
        <is>
          <t>MISSING</t>
        </is>
      </c>
    </row>
    <row r="30" ht="18" customHeight="1">
      <c r="A30" s="10" t="inlineStr">
        <is>
          <t>cm2_pct</t>
        </is>
      </c>
      <c r="B30" s="10" t="inlineStr">
        <is>
          <t>%</t>
        </is>
      </c>
      <c r="C30" s="11" t="inlineStr">
        <is>
          <t>REQUIRED</t>
        </is>
      </c>
      <c r="D30" s="10" t="inlineStr">
        <is>
          <t>Finance</t>
        </is>
      </c>
      <c r="E30" s="10" t="inlineStr">
        <is>
          <t>Present — ESTIMATED rows = 15% placeholder</t>
        </is>
      </c>
    </row>
    <row r="31" ht="18" customHeight="1">
      <c r="A31" s="8" t="inlineStr">
        <is>
          <t>approval_status</t>
        </is>
      </c>
      <c r="B31" s="8" t="inlineStr">
        <is>
          <t>FINANCE_APPROVED / PROVISIONAL</t>
        </is>
      </c>
      <c r="C31" s="11" t="inlineStr">
        <is>
          <t>REQUIRED</t>
        </is>
      </c>
      <c r="D31" s="8" t="inlineStr">
        <is>
          <t>Finance Controller</t>
        </is>
      </c>
      <c r="E31" s="11" t="inlineStr">
        <is>
          <t>MISSING</t>
        </is>
      </c>
    </row>
    <row r="32" ht="18" customHeight="1">
      <c r="A32" s="10" t="inlineStr">
        <is>
          <t>effective_from</t>
        </is>
      </c>
      <c r="B32" s="10" t="inlineStr">
        <is>
          <t>YYYY-MM</t>
        </is>
      </c>
      <c r="C32" s="11" t="inlineStr">
        <is>
          <t>REQUIRED</t>
        </is>
      </c>
      <c r="D32" s="10" t="inlineStr">
        <is>
          <t>Finance</t>
        </is>
      </c>
      <c r="E32" s="11" t="inlineStr">
        <is>
          <t>MISSING</t>
        </is>
      </c>
    </row>
    <row r="33" ht="18" customHeight="1">
      <c r="A33" s="8" t="inlineStr">
        <is>
          <t>effective_to</t>
        </is>
      </c>
      <c r="B33" s="8" t="inlineStr">
        <is>
          <t>YYYY-MM or OPEN</t>
        </is>
      </c>
      <c r="C33" s="11" t="inlineStr">
        <is>
          <t>REQUIRED</t>
        </is>
      </c>
      <c r="D33" s="8" t="inlineStr">
        <is>
          <t>Finance</t>
        </is>
      </c>
      <c r="E33" s="11" t="inlineStr">
        <is>
          <t>MISSING</t>
        </is>
      </c>
    </row>
  </sheetData>
  <mergeCells count="4">
    <mergeCell ref="A1:J1"/>
    <mergeCell ref="A7:J7"/>
    <mergeCell ref="A13:J13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8" customWidth="1" min="3" max="3"/>
    <col width="14" customWidth="1" min="4" max="4"/>
    <col width="12" customWidth="1" min="5" max="5"/>
    <col width="14" customWidth="1" min="6" max="6"/>
    <col width="28" customWidth="1" min="7" max="7"/>
    <col width="30" customWidth="1" min="8" max="8"/>
    <col width="18" customWidth="1" min="9" max="9"/>
    <col width="18" customWidth="1" min="10" max="10"/>
  </cols>
  <sheetData>
    <row r="1" ht="24" customHeight="1">
      <c r="A1" s="13" t="inlineStr">
        <is>
          <t>UNMAPPED EAN REGISTER  |  5 EANs in offtake not in margin master — resolve before UAT</t>
        </is>
      </c>
    </row>
    <row r="2" ht="28" customHeight="1">
      <c r="A2" s="7" t="inlineStr">
        <is>
          <t>ean</t>
        </is>
      </c>
      <c r="B2" s="7" t="inlineStr">
        <is>
          <t>article_source_name</t>
        </is>
      </c>
      <c r="C2" s="7" t="inlineStr">
        <is>
          <t>chain_name</t>
        </is>
      </c>
      <c r="D2" s="7" t="inlineStr">
        <is>
          <t>months_seen</t>
        </is>
      </c>
      <c r="E2" s="7" t="inlineStr">
        <is>
          <t>sales_qty</t>
        </is>
      </c>
      <c r="F2" s="7" t="inlineStr">
        <is>
          <t>sales_nsv</t>
        </is>
      </c>
      <c r="G2" s="7" t="inlineStr">
        <is>
          <t>issue_type</t>
        </is>
      </c>
      <c r="H2" s="7" t="inlineStr">
        <is>
          <t>recommended_action</t>
        </is>
      </c>
      <c r="I2" s="7" t="inlineStr">
        <is>
          <t>owner</t>
        </is>
      </c>
      <c r="J2" s="7" t="inlineStr">
        <is>
          <t>status</t>
        </is>
      </c>
    </row>
    <row r="3" ht="20" customHeight="1">
      <c r="A3" s="15" t="inlineStr">
        <is>
          <t>Run audit — EAN slot 1</t>
        </is>
      </c>
      <c r="B3" s="8" t="inlineStr"/>
      <c r="C3" s="8" t="inlineStr"/>
      <c r="D3" s="8" t="inlineStr">
        <is>
          <t>Apr–May 2026</t>
        </is>
      </c>
      <c r="E3" s="8" t="inlineStr"/>
      <c r="F3" s="8" t="inlineStr"/>
      <c r="G3" s="15" t="inlineStr">
        <is>
          <t>OPEN — PENDING INVESTIGATION</t>
        </is>
      </c>
      <c r="H3" s="15" t="inlineStr">
        <is>
          <t>Investigate &amp; reclassify</t>
        </is>
      </c>
      <c r="I3" s="15" t="inlineStr">
        <is>
          <t>MDM / Category</t>
        </is>
      </c>
      <c r="J3" s="15" t="inlineStr">
        <is>
          <t>OPEN</t>
        </is>
      </c>
    </row>
    <row r="4" ht="20" customHeight="1">
      <c r="A4" s="15" t="inlineStr">
        <is>
          <t>Run audit — EAN slot 2</t>
        </is>
      </c>
      <c r="B4" s="10" t="inlineStr"/>
      <c r="C4" s="10" t="inlineStr"/>
      <c r="D4" s="10" t="inlineStr">
        <is>
          <t>Apr–May 2026</t>
        </is>
      </c>
      <c r="E4" s="10" t="inlineStr"/>
      <c r="F4" s="10" t="inlineStr"/>
      <c r="G4" s="15" t="inlineStr">
        <is>
          <t>OPEN — PENDING INVESTIGATION</t>
        </is>
      </c>
      <c r="H4" s="15" t="inlineStr">
        <is>
          <t>Investigate &amp; reclassify</t>
        </is>
      </c>
      <c r="I4" s="15" t="inlineStr">
        <is>
          <t>MDM / Category</t>
        </is>
      </c>
      <c r="J4" s="15" t="inlineStr">
        <is>
          <t>OPEN</t>
        </is>
      </c>
    </row>
    <row r="5" ht="20" customHeight="1">
      <c r="A5" s="15" t="inlineStr">
        <is>
          <t>Run audit — EAN slot 3</t>
        </is>
      </c>
      <c r="B5" s="8" t="inlineStr"/>
      <c r="C5" s="8" t="inlineStr"/>
      <c r="D5" s="8" t="inlineStr">
        <is>
          <t>Apr–May 2026</t>
        </is>
      </c>
      <c r="E5" s="8" t="inlineStr"/>
      <c r="F5" s="8" t="inlineStr"/>
      <c r="G5" s="15" t="inlineStr">
        <is>
          <t>OPEN — PENDING INVESTIGATION</t>
        </is>
      </c>
      <c r="H5" s="15" t="inlineStr">
        <is>
          <t>Investigate &amp; reclassify</t>
        </is>
      </c>
      <c r="I5" s="15" t="inlineStr">
        <is>
          <t>MDM / Category</t>
        </is>
      </c>
      <c r="J5" s="15" t="inlineStr">
        <is>
          <t>OPEN</t>
        </is>
      </c>
    </row>
    <row r="6" ht="20" customHeight="1">
      <c r="A6" s="15" t="inlineStr">
        <is>
          <t>Run audit — EAN slot 4</t>
        </is>
      </c>
      <c r="B6" s="10" t="inlineStr"/>
      <c r="C6" s="10" t="inlineStr"/>
      <c r="D6" s="10" t="inlineStr">
        <is>
          <t>Apr–May 2026</t>
        </is>
      </c>
      <c r="E6" s="10" t="inlineStr"/>
      <c r="F6" s="10" t="inlineStr"/>
      <c r="G6" s="15" t="inlineStr">
        <is>
          <t>OPEN — PENDING INVESTIGATION</t>
        </is>
      </c>
      <c r="H6" s="15" t="inlineStr">
        <is>
          <t>Investigate &amp; reclassify</t>
        </is>
      </c>
      <c r="I6" s="15" t="inlineStr">
        <is>
          <t>MDM / Category</t>
        </is>
      </c>
      <c r="J6" s="15" t="inlineStr">
        <is>
          <t>OPEN</t>
        </is>
      </c>
    </row>
    <row r="7" ht="20" customHeight="1">
      <c r="A7" s="15" t="inlineStr">
        <is>
          <t>Run audit — EAN slot 5</t>
        </is>
      </c>
      <c r="B7" s="8" t="inlineStr"/>
      <c r="C7" s="8" t="inlineStr"/>
      <c r="D7" s="8" t="inlineStr">
        <is>
          <t>Apr–May 2026</t>
        </is>
      </c>
      <c r="E7" s="8" t="inlineStr"/>
      <c r="F7" s="8" t="inlineStr"/>
      <c r="G7" s="15" t="inlineStr">
        <is>
          <t>OPEN — PENDING INVESTIGATION</t>
        </is>
      </c>
      <c r="H7" s="15" t="inlineStr">
        <is>
          <t>Investigate &amp; reclassify</t>
        </is>
      </c>
      <c r="I7" s="15" t="inlineStr">
        <is>
          <t>MDM / Category</t>
        </is>
      </c>
      <c r="J7" s="15" t="inlineStr">
        <is>
          <t>OPEN</t>
        </is>
      </c>
    </row>
    <row r="9">
      <c r="A9" s="29" t="inlineStr">
        <is>
          <t>To populate: python forecast_engine/data_readiness_audit.py  →  copy unmapped_eans from audit_output/audit_issues.csv</t>
        </is>
      </c>
    </row>
    <row r="11">
      <c r="A11" s="3" t="inlineStr">
        <is>
          <t>RESOLUTION PROGRESS</t>
        </is>
      </c>
      <c r="B11" s="24" t="n"/>
      <c r="C11" s="24" t="n"/>
      <c r="D11" s="24" t="n"/>
      <c r="E11" s="24" t="n"/>
      <c r="F11" s="24" t="n"/>
      <c r="G11" s="24" t="n"/>
      <c r="H11" s="24" t="n"/>
      <c r="I11" s="24" t="n"/>
      <c r="J11" s="16" t="n"/>
    </row>
    <row r="12" ht="22" customHeight="1">
      <c r="A12" s="4" t="inlineStr">
        <is>
          <t>Total EANs</t>
        </is>
      </c>
      <c r="B12" s="16" t="n"/>
      <c r="C12" s="4" t="inlineStr">
        <is>
          <t>Resolved</t>
        </is>
      </c>
      <c r="D12" s="16" t="n"/>
      <c r="E12" s="4" t="inlineStr">
        <is>
          <t>Excluded</t>
        </is>
      </c>
      <c r="F12" s="16" t="n"/>
      <c r="G12" s="4" t="inlineStr">
        <is>
          <t>Still Open</t>
        </is>
      </c>
      <c r="H12" s="16" t="n"/>
    </row>
    <row r="13" ht="28" customHeight="1">
      <c r="A13" s="30">
        <f>COUNTA(A3:A7)</f>
        <v/>
      </c>
      <c r="B13" s="16" t="n"/>
      <c r="C13" s="30">
        <f>COUNTIF(J3:J7,"RESOLVED")</f>
        <v/>
      </c>
      <c r="D13" s="16" t="n"/>
      <c r="E13" s="30">
        <f>COUNTIF(J3:J7,"EXCLUDED")</f>
        <v/>
      </c>
      <c r="F13" s="16" t="n"/>
      <c r="G13" s="30">
        <f>COUNTIF(J3:J7,"OPEN")</f>
        <v/>
      </c>
      <c r="H13" s="16" t="n"/>
    </row>
  </sheetData>
  <mergeCells count="11">
    <mergeCell ref="E12:F12"/>
    <mergeCell ref="A1:J1"/>
    <mergeCell ref="C12:D12"/>
    <mergeCell ref="G12:H12"/>
    <mergeCell ref="A11:J11"/>
    <mergeCell ref="A9:J9"/>
    <mergeCell ref="A13:B13"/>
    <mergeCell ref="E13:F13"/>
    <mergeCell ref="C13:D13"/>
    <mergeCell ref="G13:H13"/>
    <mergeCell ref="A12:B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4" customWidth="1" min="3" max="3"/>
    <col width="10" customWidth="1" min="4" max="4"/>
    <col width="36" customWidth="1" min="5" max="5"/>
    <col width="30" customWidth="1" min="6" max="6"/>
    <col width="28" customWidth="1" min="7" max="7"/>
    <col width="12" customWidth="1" min="8" max="8"/>
    <col width="36" customWidth="1" min="9" max="9"/>
  </cols>
  <sheetData>
    <row r="1" ht="24" customHeight="1">
      <c r="A1" s="13" t="inlineStr">
        <is>
          <t>PRE-REFRESH VALIDATION CHECKLIST  |  Run: python validate_business_inputs.py --mode full</t>
        </is>
      </c>
    </row>
    <row r="2" ht="18" customHeight="1">
      <c r="A2" s="2" t="inlineStr">
        <is>
          <t>BLOCKED = Stop. Do not run forecast.  FAIL = Fix before running.  WARNING = Document and proceed with caution.  Column H status auto-updates when you paste actual results in col G.</t>
        </is>
      </c>
    </row>
    <row r="3" ht="36" customHeight="1">
      <c r="A3" s="7" t="inlineStr">
        <is>
          <t>Check ID</t>
        </is>
      </c>
      <c r="B3" s="7" t="inlineStr">
        <is>
          <t>File</t>
        </is>
      </c>
      <c r="C3" s="7" t="inlineStr">
        <is>
          <t>Check Description</t>
        </is>
      </c>
      <c r="D3" s="7" t="inlineStr">
        <is>
          <t>Severity</t>
        </is>
      </c>
      <c r="E3" s="7" t="inlineStr">
        <is>
          <t>Validation Rule</t>
        </is>
      </c>
      <c r="F3" s="7" t="inlineStr">
        <is>
          <t>Pass Criterion</t>
        </is>
      </c>
      <c r="G3" s="7" t="inlineStr">
        <is>
          <t>Actual Result
(paste after running)</t>
        </is>
      </c>
      <c r="H3" s="7" t="inlineStr">
        <is>
          <t>Status
(formula)</t>
        </is>
      </c>
      <c r="I3" s="7" t="inlineStr">
        <is>
          <t>Notes</t>
        </is>
      </c>
    </row>
    <row r="4" ht="18" customHeight="1">
      <c r="A4" s="8" t="inlineStr">
        <is>
          <t>V-01</t>
        </is>
      </c>
      <c r="B4" s="8" t="inlineStr">
        <is>
          <t>targets.csv</t>
        </is>
      </c>
      <c r="C4" s="8" t="inlineStr">
        <is>
          <t>At least one data row present</t>
        </is>
      </c>
      <c r="D4" s="11" t="inlineStr">
        <is>
          <t>BLOCKED</t>
        </is>
      </c>
      <c r="E4" s="8" t="inlineStr">
        <is>
          <t>Row count &gt; 0</t>
        </is>
      </c>
      <c r="F4" s="8" t="inlineStr">
        <is>
          <t>≥ 1 row for Aug–Oct 2026</t>
        </is>
      </c>
      <c r="G4" s="15" t="inlineStr"/>
      <c r="H4" s="9">
        <f>IF(G4="","PENDING",IF(OR(ISNUMBER(SEARCH("PASS",G4)),G4="0",G4="✓"),"PASS",IF(OR(ISNUMBER(SEARCH("BLOCKED",G4)),ISNUMBER(SEARCH("FAIL",G4))),"BLOCKED","REVIEW")))</f>
        <v/>
      </c>
      <c r="I4" s="8" t="inlineStr">
        <is>
          <t>Most critical missing input. Upload Chain × Brand × EAN targets.</t>
        </is>
      </c>
    </row>
    <row r="5" ht="18" customHeight="1">
      <c r="A5" s="10" t="inlineStr">
        <is>
          <t>V-02</t>
        </is>
      </c>
      <c r="B5" s="10" t="inlineStr">
        <is>
          <t>targets.csv</t>
        </is>
      </c>
      <c r="C5" s="10" t="inlineStr">
        <is>
          <t>No blanks in required columns</t>
        </is>
      </c>
      <c r="D5" s="11" t="inlineStr">
        <is>
          <t>BLOCKED</t>
        </is>
      </c>
      <c r="E5" s="10" t="inlineStr">
        <is>
          <t>No NaN in month, chain_name, brand, ean, target_qty</t>
        </is>
      </c>
      <c r="F5" s="10" t="inlineStr">
        <is>
          <t>0 blank required fields</t>
        </is>
      </c>
      <c r="G5" s="15" t="inlineStr"/>
      <c r="H5" s="9">
        <f>IF(G5="","PENDING",IF(OR(ISNUMBER(SEARCH("PASS",G5)),G5="0",G5="✓"),"PASS",IF(OR(ISNUMBER(SEARCH("BLOCKED",G5)),ISNUMBER(SEARCH("FAIL",G5))),"BLOCKED","REVIEW")))</f>
        <v/>
      </c>
      <c r="I5" s="10" t="inlineStr"/>
    </row>
    <row r="6" ht="18" customHeight="1">
      <c r="A6" s="8" t="inlineStr">
        <is>
          <t>V-03</t>
        </is>
      </c>
      <c r="B6" s="8" t="inlineStr">
        <is>
          <t>targets.csv</t>
        </is>
      </c>
      <c r="C6" s="8" t="inlineStr">
        <is>
          <t>month format YYYY-MM</t>
        </is>
      </c>
      <c r="D6" s="9" t="inlineStr">
        <is>
          <t>FAIL</t>
        </is>
      </c>
      <c r="E6" s="8" t="inlineStr">
        <is>
          <t>regex \d{4}-\d{2}</t>
        </is>
      </c>
      <c r="F6" s="8" t="inlineStr">
        <is>
          <t>All rows match</t>
        </is>
      </c>
      <c r="G6" s="15" t="inlineStr"/>
      <c r="H6" s="9">
        <f>IF(G6="","PENDING",IF(OR(ISNUMBER(SEARCH("PASS",G6)),G6="0",G6="✓"),"PASS",IF(OR(ISNUMBER(SEARCH("BLOCKED",G6)),ISNUMBER(SEARCH("FAIL",G6))),"BLOCKED","REVIEW")))</f>
        <v/>
      </c>
      <c r="I6" s="8" t="inlineStr"/>
    </row>
    <row r="7" ht="18" customHeight="1">
      <c r="A7" s="10" t="inlineStr">
        <is>
          <t>V-04</t>
        </is>
      </c>
      <c r="B7" s="10" t="inlineStr">
        <is>
          <t>targets.csv</t>
        </is>
      </c>
      <c r="C7" s="10" t="inlineStr">
        <is>
          <t>No negative target_qty or target_nsv</t>
        </is>
      </c>
      <c r="D7" s="9" t="inlineStr">
        <is>
          <t>FAIL</t>
        </is>
      </c>
      <c r="E7" s="10" t="inlineStr">
        <is>
          <t>target_qty &gt;= 0, target_nsv &gt;= 0</t>
        </is>
      </c>
      <c r="F7" s="10" t="inlineStr">
        <is>
          <t>0 negative values</t>
        </is>
      </c>
      <c r="G7" s="15" t="inlineStr"/>
      <c r="H7" s="9">
        <f>IF(G7="","PENDING",IF(OR(ISNUMBER(SEARCH("PASS",G7)),G7="0",G7="✓"),"PASS",IF(OR(ISNUMBER(SEARCH("BLOCKED",G7)),ISNUMBER(SEARCH("FAIL",G7))),"BLOCKED","REVIEW")))</f>
        <v/>
      </c>
      <c r="I7" s="10" t="inlineStr"/>
    </row>
    <row r="8" ht="18" customHeight="1">
      <c r="A8" s="8" t="inlineStr">
        <is>
          <t>V-05</t>
        </is>
      </c>
      <c r="B8" s="8" t="inlineStr">
        <is>
          <t>targets.csv</t>
        </is>
      </c>
      <c r="C8" s="8" t="inlineStr">
        <is>
          <t>No duplicate month × chain × brand × ean</t>
        </is>
      </c>
      <c r="D8" s="11" t="inlineStr">
        <is>
          <t>BLOCKED</t>
        </is>
      </c>
      <c r="E8" s="8" t="inlineStr">
        <is>
          <t>Deduplication check</t>
        </is>
      </c>
      <c r="F8" s="8" t="inlineStr">
        <is>
          <t>0 duplicates</t>
        </is>
      </c>
      <c r="G8" s="15" t="inlineStr"/>
      <c r="H8" s="9">
        <f>IF(G8="","PENDING",IF(OR(ISNUMBER(SEARCH("PASS",G8)),G8="0",G8="✓"),"PASS",IF(OR(ISNUMBER(SEARCH("BLOCKED",G8)),ISNUMBER(SEARCH("FAIL",G8))),"BLOCKED","REVIEW")))</f>
        <v/>
      </c>
      <c r="I8" s="8" t="inlineStr"/>
    </row>
    <row r="9" ht="18" customHeight="1">
      <c r="A9" s="10" t="inlineStr">
        <is>
          <t>V-06</t>
        </is>
      </c>
      <c r="B9" s="10" t="inlineStr">
        <is>
          <t>targets.csv</t>
        </is>
      </c>
      <c r="C9" s="10" t="inlineStr">
        <is>
          <t>No MISSING quality_status rows</t>
        </is>
      </c>
      <c r="D9" s="9" t="inlineStr">
        <is>
          <t>FAIL</t>
        </is>
      </c>
      <c r="E9" s="10" t="inlineStr">
        <is>
          <t>quality_status != MISSING</t>
        </is>
      </c>
      <c r="F9" s="10" t="inlineStr">
        <is>
          <t>0 MISSING rows</t>
        </is>
      </c>
      <c r="G9" s="15" t="inlineStr"/>
      <c r="H9" s="9">
        <f>IF(G9="","PENDING",IF(OR(ISNUMBER(SEARCH("PASS",G9)),G9="0",G9="✓"),"PASS",IF(OR(ISNUMBER(SEARCH("BLOCKED",G9)),ISNUMBER(SEARCH("FAIL",G9))),"BLOCKED","REVIEW")))</f>
        <v/>
      </c>
      <c r="I9" s="10" t="inlineStr"/>
    </row>
    <row r="10" ht="18" customHeight="1">
      <c r="A10" s="8" t="inlineStr">
        <is>
          <t>V-07</t>
        </is>
      </c>
      <c r="B10" s="8" t="inlineStr">
        <is>
          <t>events_calendar.csv</t>
        </is>
      </c>
      <c r="C10" s="8" t="inlineStr">
        <is>
          <t>No PLACEHOLDER_TBC rows</t>
        </is>
      </c>
      <c r="D10" s="11" t="inlineStr">
        <is>
          <t>BLOCKED</t>
        </is>
      </c>
      <c r="E10" s="8" t="inlineStr">
        <is>
          <t>status = APPROVED only</t>
        </is>
      </c>
      <c r="F10" s="8" t="inlineStr">
        <is>
          <t>0 PLACEHOLDER_TBC rows</t>
        </is>
      </c>
      <c r="G10" s="15" t="inlineStr"/>
      <c r="H10" s="9">
        <f>IF(G10="","PENDING",IF(OR(ISNUMBER(SEARCH("PASS",G10)),G10="0",G10="✓"),"PASS",IF(OR(ISNUMBER(SEARCH("BLOCKED",G10)),ISNUMBER(SEARCH("FAIL",G10))),"BLOCKED","REVIEW")))</f>
        <v/>
      </c>
      <c r="I10" s="8" t="inlineStr">
        <is>
          <t>All 13 events currently PLACEHOLDER_TBC.</t>
        </is>
      </c>
    </row>
    <row r="11" ht="18" customHeight="1">
      <c r="A11" s="10" t="inlineStr">
        <is>
          <t>V-08</t>
        </is>
      </c>
      <c r="B11" s="10" t="inlineStr">
        <is>
          <t>events_calendar.csv</t>
        </is>
      </c>
      <c r="C11" s="10" t="inlineStr">
        <is>
          <t>No overlapping events same chain × brand × month</t>
        </is>
      </c>
      <c r="D11" s="9" t="inlineStr">
        <is>
          <t>FAIL</t>
        </is>
      </c>
      <c r="E11" s="10" t="inlineStr">
        <is>
          <t>No dup forecast_month + chain + brand</t>
        </is>
      </c>
      <c r="F11" s="10" t="inlineStr">
        <is>
          <t>0 overlapping rows</t>
        </is>
      </c>
      <c r="G11" s="15" t="inlineStr"/>
      <c r="H11" s="9">
        <f>IF(G11="","PENDING",IF(OR(ISNUMBER(SEARCH("PASS",G11)),G11="0",G11="✓"),"PASS",IF(OR(ISNUMBER(SEARCH("BLOCKED",G11)),ISNUMBER(SEARCH("FAIL",G11))),"BLOCKED","REVIEW")))</f>
        <v/>
      </c>
      <c r="I11" s="10" t="inlineStr"/>
    </row>
    <row r="12" ht="18" customHeight="1">
      <c r="A12" s="8" t="inlineStr">
        <is>
          <t>V-09</t>
        </is>
      </c>
      <c r="B12" s="8" t="inlineStr">
        <is>
          <t>events_calendar.csv</t>
        </is>
      </c>
      <c r="C12" s="8" t="inlineStr">
        <is>
          <t>uplift_pct between 0 and 100</t>
        </is>
      </c>
      <c r="D12" s="9" t="inlineStr">
        <is>
          <t>FAIL</t>
        </is>
      </c>
      <c r="E12" s="8" t="inlineStr">
        <is>
          <t>0 &lt;= uplift_pct &lt;= 100</t>
        </is>
      </c>
      <c r="F12" s="8" t="inlineStr">
        <is>
          <t>All rows within range</t>
        </is>
      </c>
      <c r="G12" s="15" t="inlineStr"/>
      <c r="H12" s="9">
        <f>IF(G12="","PENDING",IF(OR(ISNUMBER(SEARCH("PASS",G12)),G12="0",G12="✓"),"PASS",IF(OR(ISNUMBER(SEARCH("BLOCKED",G12)),ISNUMBER(SEARCH("FAIL",G12))),"BLOCKED","REVIEW")))</f>
        <v/>
      </c>
      <c r="I12" s="8" t="inlineStr"/>
    </row>
    <row r="13" ht="18" customHeight="1">
      <c r="A13" s="10" t="inlineStr">
        <is>
          <t>V-10</t>
        </is>
      </c>
      <c r="B13" s="10" t="inlineStr">
        <is>
          <t>events_calendar.csv</t>
        </is>
      </c>
      <c r="C13" s="10" t="inlineStr">
        <is>
          <t>forecast_month format YYYY-MM</t>
        </is>
      </c>
      <c r="D13" s="9" t="inlineStr">
        <is>
          <t>FAIL</t>
        </is>
      </c>
      <c r="E13" s="10" t="inlineStr">
        <is>
          <t>regex \d{4}-\d{2}</t>
        </is>
      </c>
      <c r="F13" s="10" t="inlineStr">
        <is>
          <t>All rows match</t>
        </is>
      </c>
      <c r="G13" s="15" t="inlineStr"/>
      <c r="H13" s="9">
        <f>IF(G13="","PENDING",IF(OR(ISNUMBER(SEARCH("PASS",G13)),G13="0",G13="✓"),"PASS",IF(OR(ISNUMBER(SEARCH("BLOCKED",G13)),ISNUMBER(SEARCH("FAIL",G13))),"BLOCKED","REVIEW")))</f>
        <v/>
      </c>
      <c r="I13" s="10" t="inlineStr"/>
    </row>
    <row r="14" ht="18" customHeight="1">
      <c r="A14" s="8" t="inlineStr">
        <is>
          <t>V-11</t>
        </is>
      </c>
      <c r="B14" s="8" t="inlineStr">
        <is>
          <t>launch_plan.csv</t>
        </is>
      </c>
      <c r="C14" s="8" t="inlineStr">
        <is>
          <t>All NPI rows approval_status = APPROVED</t>
        </is>
      </c>
      <c r="D14" s="11" t="inlineStr">
        <is>
          <t>BLOCKED</t>
        </is>
      </c>
      <c r="E14" s="8" t="inlineStr">
        <is>
          <t>status = APPROVED only</t>
        </is>
      </c>
      <c r="F14" s="8" t="inlineStr">
        <is>
          <t>0 PENDING rows affect forecast</t>
        </is>
      </c>
      <c r="G14" s="15" t="inlineStr"/>
      <c r="H14" s="9">
        <f>IF(G14="","PENDING",IF(OR(ISNUMBER(SEARCH("PASS",G14)),G14="0",G14="✓"),"PASS",IF(OR(ISNUMBER(SEARCH("BLOCKED",G14)),ISNUMBER(SEARCH("FAIL",G14))),"BLOCKED","REVIEW")))</f>
        <v/>
      </c>
      <c r="I14" s="8" t="inlineStr">
        <is>
          <t>Empty file = PASS (no NPI uplift applied).</t>
        </is>
      </c>
    </row>
    <row r="15" ht="18" customHeight="1">
      <c r="A15" s="10" t="inlineStr">
        <is>
          <t>V-12</t>
        </is>
      </c>
      <c r="B15" s="10" t="inlineStr">
        <is>
          <t>launch_plan.csv</t>
        </is>
      </c>
      <c r="C15" s="10" t="inlineStr">
        <is>
          <t>launch_month in YYYY-MM format</t>
        </is>
      </c>
      <c r="D15" s="9" t="inlineStr">
        <is>
          <t>FAIL</t>
        </is>
      </c>
      <c r="E15" s="10" t="inlineStr">
        <is>
          <t>regex \d{4}-\d{2}</t>
        </is>
      </c>
      <c r="F15" s="10" t="inlineStr">
        <is>
          <t>All rows match</t>
        </is>
      </c>
      <c r="G15" s="15" t="inlineStr"/>
      <c r="H15" s="9">
        <f>IF(G15="","PENDING",IF(OR(ISNUMBER(SEARCH("PASS",G15)),G15="0",G15="✓"),"PASS",IF(OR(ISNUMBER(SEARCH("BLOCKED",G15)),ISNUMBER(SEARCH("FAIL",G15))),"BLOCKED","REVIEW")))</f>
        <v/>
      </c>
      <c r="I15" s="10" t="inlineStr"/>
    </row>
    <row r="16" ht="18" customHeight="1">
      <c r="A16" s="8" t="inlineStr">
        <is>
          <t>V-13</t>
        </is>
      </c>
      <c r="B16" s="8" t="inlineStr">
        <is>
          <t>launch_plan.csv</t>
        </is>
      </c>
      <c r="C16" s="8" t="inlineStr">
        <is>
          <t>No negative uplift percentages</t>
        </is>
      </c>
      <c r="D16" s="9" t="inlineStr">
        <is>
          <t>FAIL</t>
        </is>
      </c>
      <c r="E16" s="8" t="inlineStr">
        <is>
          <t>month_N_uplift_pct &gt;= 0</t>
        </is>
      </c>
      <c r="F16" s="8" t="inlineStr">
        <is>
          <t>0 negative values</t>
        </is>
      </c>
      <c r="G16" s="15" t="inlineStr"/>
      <c r="H16" s="9">
        <f>IF(G16="","PENDING",IF(OR(ISNUMBER(SEARCH("PASS",G16)),G16="0",G16="✓"),"PASS",IF(OR(ISNUMBER(SEARCH("BLOCKED",G16)),ISNUMBER(SEARCH("FAIL",G16))),"BLOCKED","REVIEW")))</f>
        <v/>
      </c>
      <c r="I16" s="8" t="inlineStr"/>
    </row>
    <row r="17" ht="18" customHeight="1">
      <c r="A17" s="10" t="inlineStr">
        <is>
          <t>V-14</t>
        </is>
      </c>
      <c r="B17" s="10" t="inlineStr">
        <is>
          <t>fact_margin.csv</t>
        </is>
      </c>
      <c r="C17" s="10" t="inlineStr">
        <is>
          <t>No ESTIMATED rows</t>
        </is>
      </c>
      <c r="D17" s="11" t="inlineStr">
        <is>
          <t>BLOCKED</t>
        </is>
      </c>
      <c r="E17" s="10" t="inlineStr">
        <is>
          <t>quality_status != ESTIMATED</t>
        </is>
      </c>
      <c r="F17" s="10" t="inlineStr">
        <is>
          <t>0 ESTIMATED rows</t>
        </is>
      </c>
      <c r="G17" s="15" t="inlineStr"/>
      <c r="H17" s="9">
        <f>IF(G17="","PENDING",IF(OR(ISNUMBER(SEARCH("PASS",G17)),G17="0",G17="✓"),"PASS",IF(OR(ISNUMBER(SEARCH("BLOCKED",G17)),ISNUMBER(SEARCH("FAIL",G17))),"BLOCKED","REVIEW")))</f>
        <v/>
      </c>
      <c r="I17" s="10" t="inlineStr">
        <is>
          <t>Currently 933 ESTIMATED rows — placeholder values.</t>
        </is>
      </c>
    </row>
    <row r="18" ht="18" customHeight="1">
      <c r="A18" s="8" t="inlineStr">
        <is>
          <t>V-15</t>
        </is>
      </c>
      <c r="B18" s="8" t="inlineStr">
        <is>
          <t>fact_margin.csv</t>
        </is>
      </c>
      <c r="C18" s="8" t="inlineStr">
        <is>
          <t>approval_status column present</t>
        </is>
      </c>
      <c r="D18" s="9" t="inlineStr">
        <is>
          <t>FAIL</t>
        </is>
      </c>
      <c r="E18" s="8" t="inlineStr">
        <is>
          <t>Column exists</t>
        </is>
      </c>
      <c r="F18" s="8" t="inlineStr">
        <is>
          <t>Column found</t>
        </is>
      </c>
      <c r="G18" s="15" t="inlineStr"/>
      <c r="H18" s="9">
        <f>IF(G18="","PENDING",IF(OR(ISNUMBER(SEARCH("PASS",G18)),G18="0",G18="✓"),"PASS",IF(OR(ISNUMBER(SEARCH("BLOCKED",G18)),ISNUMBER(SEARCH("FAIL",G18))),"BLOCKED","REVIEW")))</f>
        <v/>
      </c>
      <c r="I18" s="8" t="inlineStr">
        <is>
          <t>Add approval_status column; Finance marks FINANCE_APPROVED.</t>
        </is>
      </c>
    </row>
    <row r="19" ht="18" customHeight="1">
      <c r="A19" s="10" t="inlineStr">
        <is>
          <t>V-16a</t>
        </is>
      </c>
      <c r="B19" s="10" t="inlineStr">
        <is>
          <t>fact_margin.csv</t>
        </is>
      </c>
      <c r="C19" s="10" t="inlineStr">
        <is>
          <t>No negative mrp</t>
        </is>
      </c>
      <c r="D19" s="9" t="inlineStr">
        <is>
          <t>FAIL</t>
        </is>
      </c>
      <c r="E19" s="10" t="inlineStr">
        <is>
          <t>mrp &gt; 0</t>
        </is>
      </c>
      <c r="F19" s="10" t="inlineStr">
        <is>
          <t>0 negative MRP rows</t>
        </is>
      </c>
      <c r="G19" s="15" t="inlineStr"/>
      <c r="H19" s="9">
        <f>IF(G19="","PENDING",IF(OR(ISNUMBER(SEARCH("PASS",G19)),G19="0",G19="✓"),"PASS",IF(OR(ISNUMBER(SEARCH("BLOCKED",G19)),ISNUMBER(SEARCH("FAIL",G19))),"BLOCKED","REVIEW")))</f>
        <v/>
      </c>
      <c r="I19" s="10" t="inlineStr"/>
    </row>
    <row r="20" ht="18" customHeight="1">
      <c r="A20" s="8" t="inlineStr">
        <is>
          <t>V-16b</t>
        </is>
      </c>
      <c r="B20" s="8" t="inlineStr">
        <is>
          <t>fact_margin.csv</t>
        </is>
      </c>
      <c r="C20" s="8" t="inlineStr">
        <is>
          <t>No negative margin_pct</t>
        </is>
      </c>
      <c r="D20" s="9" t="inlineStr">
        <is>
          <t>FAIL</t>
        </is>
      </c>
      <c r="E20" s="8" t="inlineStr">
        <is>
          <t>margin_pct &gt;= 0</t>
        </is>
      </c>
      <c r="F20" s="8" t="inlineStr">
        <is>
          <t>0 negative rows</t>
        </is>
      </c>
      <c r="G20" s="15" t="inlineStr"/>
      <c r="H20" s="9">
        <f>IF(G20="","PENDING",IF(OR(ISNUMBER(SEARCH("PASS",G20)),G20="0",G20="✓"),"PASS",IF(OR(ISNUMBER(SEARCH("BLOCKED",G20)),ISNUMBER(SEARCH("FAIL",G20))),"BLOCKED","REVIEW")))</f>
        <v/>
      </c>
      <c r="I20" s="8" t="inlineStr">
        <is>
          <t>Currently 2 negative rows (VMM chain) — see MARGIN_STATUS sheet.</t>
        </is>
      </c>
    </row>
    <row r="21" ht="18" customHeight="1">
      <c r="A21" s="10" t="inlineStr">
        <is>
          <t>V-16c</t>
        </is>
      </c>
      <c r="B21" s="10" t="inlineStr">
        <is>
          <t>fact_margin.csv</t>
        </is>
      </c>
      <c r="C21" s="10" t="inlineStr">
        <is>
          <t>No negative cm2_pct</t>
        </is>
      </c>
      <c r="D21" s="9" t="inlineStr">
        <is>
          <t>FAIL</t>
        </is>
      </c>
      <c r="E21" s="10" t="inlineStr">
        <is>
          <t>cm2_pct &gt;= 0</t>
        </is>
      </c>
      <c r="F21" s="10" t="inlineStr">
        <is>
          <t>0 negative rows</t>
        </is>
      </c>
      <c r="G21" s="15" t="inlineStr"/>
      <c r="H21" s="9">
        <f>IF(G21="","PENDING",IF(OR(ISNUMBER(SEARCH("PASS",G21)),G21="0",G21="✓"),"PASS",IF(OR(ISNUMBER(SEARCH("BLOCKED",G21)),ISNUMBER(SEARCH("FAIL",G21))),"BLOCKED","REVIEW")))</f>
        <v/>
      </c>
      <c r="I21" s="10" t="inlineStr"/>
    </row>
    <row r="22" ht="18" customHeight="1">
      <c r="A22" s="8" t="inlineStr">
        <is>
          <t>V-17</t>
        </is>
      </c>
      <c r="B22" s="8" t="inlineStr">
        <is>
          <t>fact_margin.csv</t>
        </is>
      </c>
      <c r="C22" s="8" t="inlineStr">
        <is>
          <t>No duplicate month × chain × ean</t>
        </is>
      </c>
      <c r="D22" s="11" t="inlineStr">
        <is>
          <t>BLOCKED</t>
        </is>
      </c>
      <c r="E22" s="8" t="inlineStr">
        <is>
          <t>Deduplication check</t>
        </is>
      </c>
      <c r="F22" s="8" t="inlineStr">
        <is>
          <t>0 duplicates</t>
        </is>
      </c>
      <c r="G22" s="15" t="inlineStr"/>
      <c r="H22" s="9">
        <f>IF(G22="","PENDING",IF(OR(ISNUMBER(SEARCH("PASS",G22)),G22="0",G22="✓"),"PASS",IF(OR(ISNUMBER(SEARCH("BLOCKED",G22)),ISNUMBER(SEARCH("FAIL",G22))),"BLOCKED","REVIEW")))</f>
        <v/>
      </c>
      <c r="I22" s="8" t="inlineStr">
        <is>
          <t>Currently 0 duplicates ✓</t>
        </is>
      </c>
    </row>
    <row r="23" ht="18" customHeight="1">
      <c r="A23" s="10" t="inlineStr">
        <is>
          <t>V-18</t>
        </is>
      </c>
      <c r="B23" s="10" t="inlineStr">
        <is>
          <t>fact_margin.csv</t>
        </is>
      </c>
      <c r="C23" s="10" t="inlineStr">
        <is>
          <t>mrp &gt; 0 for all rows</t>
        </is>
      </c>
      <c r="D23" s="9" t="inlineStr">
        <is>
          <t>FAIL</t>
        </is>
      </c>
      <c r="E23" s="10" t="inlineStr">
        <is>
          <t>mrp &gt; 0</t>
        </is>
      </c>
      <c r="F23" s="10" t="inlineStr">
        <is>
          <t>0 zero-MRP rows</t>
        </is>
      </c>
      <c r="G23" s="15" t="inlineStr"/>
      <c r="H23" s="9">
        <f>IF(G23="","PENDING",IF(OR(ISNUMBER(SEARCH("PASS",G23)),G23="0",G23="✓"),"PASS",IF(OR(ISNUMBER(SEARCH("BLOCKED",G23)),ISNUMBER(SEARCH("FAIL",G23))),"BLOCKED","REVIEW")))</f>
        <v/>
      </c>
      <c r="I23" s="10" t="inlineStr"/>
    </row>
    <row r="24" ht="18" customHeight="1">
      <c r="A24" s="8" t="inlineStr">
        <is>
          <t>V-19</t>
        </is>
      </c>
      <c r="B24" s="8" t="inlineStr">
        <is>
          <t>cross-file</t>
        </is>
      </c>
      <c r="C24" s="8" t="inlineStr">
        <is>
          <t>All target EANs exist in fact_margin</t>
        </is>
      </c>
      <c r="D24" s="9" t="inlineStr">
        <is>
          <t>FAIL</t>
        </is>
      </c>
      <c r="E24" s="8" t="inlineStr">
        <is>
          <t>EAN cross-reference check</t>
        </is>
      </c>
      <c r="F24" s="8" t="inlineStr">
        <is>
          <t>0 unmapped EANs</t>
        </is>
      </c>
      <c r="G24" s="15" t="inlineStr"/>
      <c r="H24" s="9">
        <f>IF(G24="","PENDING",IF(OR(ISNUMBER(SEARCH("PASS",G24)),G24="0",G24="✓"),"PASS",IF(OR(ISNUMBER(SEARCH("BLOCKED",G24)),ISNUMBER(SEARCH("FAIL",G24))),"BLOCKED","REVIEW")))</f>
        <v/>
      </c>
      <c r="I24" s="8" t="inlineStr"/>
    </row>
    <row r="25" ht="18" customHeight="1">
      <c r="A25" s="10" t="inlineStr">
        <is>
          <t>V-20</t>
        </is>
      </c>
      <c r="B25" s="10" t="inlineStr">
        <is>
          <t>all files</t>
        </is>
      </c>
      <c r="C25" s="10" t="inlineStr">
        <is>
          <t>No excluded brands (Pure Origin, Lumineve, Staze)</t>
        </is>
      </c>
      <c r="D25" s="11" t="inlineStr">
        <is>
          <t>BLOCKED</t>
        </is>
      </c>
      <c r="E25" s="10" t="inlineStr">
        <is>
          <t>brand NOT IN excluded list</t>
        </is>
      </c>
      <c r="F25" s="10" t="inlineStr">
        <is>
          <t>0 excluded brand rows</t>
        </is>
      </c>
      <c r="G25" s="15" t="inlineStr"/>
      <c r="H25" s="9">
        <f>IF(G25="","PENDING",IF(OR(ISNUMBER(SEARCH("PASS",G25)),G25="0",G25="✓"),"PASS",IF(OR(ISNUMBER(SEARCH("BLOCKED",G25)),ISNUMBER(SEARCH("FAIL",G25))),"BLOCKED","REVIEW")))</f>
        <v/>
      </c>
      <c r="I25" s="10" t="inlineStr">
        <is>
          <t>Hard rule — never appears in forecast.</t>
        </is>
      </c>
    </row>
    <row r="26" ht="18" customHeight="1">
      <c r="A26" s="8" t="inlineStr">
        <is>
          <t>V-21</t>
        </is>
      </c>
      <c r="B26" s="8" t="inlineStr">
        <is>
          <t>offtake_history.csv</t>
        </is>
      </c>
      <c r="C26" s="8" t="inlineStr">
        <is>
          <t>0 unmapped EANs (5 currently open)</t>
        </is>
      </c>
      <c r="D26" s="31" t="inlineStr">
        <is>
          <t>WARNING</t>
        </is>
      </c>
      <c r="E26" s="8" t="inlineStr">
        <is>
          <t>Audit unmapped EAN register</t>
        </is>
      </c>
      <c r="F26" s="8" t="inlineStr">
        <is>
          <t>All 5 EANs resolved</t>
        </is>
      </c>
      <c r="G26" s="15" t="inlineStr"/>
      <c r="H26" s="9">
        <f>IF(G26="","PENDING",IF(OR(ISNUMBER(SEARCH("PASS",G26)),G26="0",G26="✓"),"PASS",IF(OR(ISNUMBER(SEARCH("BLOCKED",G26)),ISNUMBER(SEARCH("FAIL",G26))),"BLOCKED","REVIEW")))</f>
        <v/>
      </c>
      <c r="I26" s="8" t="inlineStr">
        <is>
          <t>See UNMAPPED_EANS sheet.</t>
        </is>
      </c>
    </row>
    <row r="27" ht="18" customHeight="1">
      <c r="A27" s="10" t="inlineStr">
        <is>
          <t>V-22</t>
        </is>
      </c>
      <c r="B27" s="10" t="inlineStr">
        <is>
          <t>primary_history.csv</t>
        </is>
      </c>
      <c r="C27" s="10" t="inlineStr">
        <is>
          <t>No duplicate month × chain × ean</t>
        </is>
      </c>
      <c r="D27" s="11" t="inlineStr">
        <is>
          <t>BLOCKED</t>
        </is>
      </c>
      <c r="E27" s="10" t="inlineStr">
        <is>
          <t>Deduplication check</t>
        </is>
      </c>
      <c r="F27" s="10" t="inlineStr">
        <is>
          <t>0 duplicates (currently 0 ✓)</t>
        </is>
      </c>
      <c r="G27" s="15" t="inlineStr"/>
      <c r="H27" s="9">
        <f>IF(G27="","PENDING",IF(OR(ISNUMBER(SEARCH("PASS",G27)),G27="0",G27="✓"),"PASS",IF(OR(ISNUMBER(SEARCH("BLOCKED",G27)),ISNUMBER(SEARCH("FAIL",G27))),"BLOCKED","REVIEW")))</f>
        <v/>
      </c>
      <c r="I27" s="10" t="inlineStr"/>
    </row>
    <row r="29" ht="20" customHeight="1">
      <c r="A29" s="3" t="inlineStr">
        <is>
          <t>OVERALL GATE RESULT (live formula — auto-updates when col G is filled)</t>
        </is>
      </c>
      <c r="B29" s="24" t="n"/>
      <c r="C29" s="24" t="n"/>
      <c r="D29" s="24" t="n"/>
      <c r="E29" s="24" t="n"/>
      <c r="F29" s="24" t="n"/>
      <c r="G29" s="24" t="n"/>
      <c r="H29" s="24" t="n"/>
      <c r="I29" s="16" t="n"/>
    </row>
    <row r="30" ht="24" customHeight="1">
      <c r="A30" s="4" t="inlineStr">
        <is>
          <t>Checks run</t>
        </is>
      </c>
      <c r="B30" s="4" t="inlineStr">
        <is>
          <t>PASS</t>
        </is>
      </c>
      <c r="C30" s="4" t="inlineStr">
        <is>
          <t>REVIEW</t>
        </is>
      </c>
      <c r="D30" s="4" t="inlineStr">
        <is>
          <t>PENDING</t>
        </is>
      </c>
      <c r="E30" s="4" t="inlineStr">
        <is>
          <t>BLOCKED</t>
        </is>
      </c>
      <c r="F30" s="4" t="inlineStr">
        <is>
          <t>FAIL count</t>
        </is>
      </c>
      <c r="G30" s="4" t="inlineStr">
        <is>
          <t>Warnings</t>
        </is>
      </c>
      <c r="H30" s="4" t="inlineStr"/>
      <c r="I30" s="4" t="inlineStr">
        <is>
          <t>OVERALL STATUS</t>
        </is>
      </c>
    </row>
    <row r="31" ht="32" customHeight="1">
      <c r="A31" s="17">
        <f>COUNTA(A4:A27)</f>
        <v/>
      </c>
      <c r="B31" s="17">
        <f>COUNTIF(H4:H27,"PASS")</f>
        <v/>
      </c>
      <c r="C31" s="17">
        <f>COUNTIF(H4:H27,"REVIEW")</f>
        <v/>
      </c>
      <c r="D31" s="17">
        <f>COUNTIF(H4:H27,"PENDING")</f>
        <v/>
      </c>
      <c r="E31" s="17">
        <f>COUNTIF(H4:H27,"BLOCKED")</f>
        <v/>
      </c>
      <c r="F31" s="17">
        <f>COUNTIFS(D4:D27,"FAIL",H4:H27,"&lt;&gt;PASS")</f>
        <v/>
      </c>
      <c r="G31" s="17">
        <f>COUNTIFS(D4:D27,"WARNING",H4:H27,"&lt;&gt;PASS")</f>
        <v/>
      </c>
      <c r="H31" s="17" t="inlineStr"/>
      <c r="I31" s="32">
        <f>IF(COUNTIF(H4:H27,"BLOCKED")&gt;0,"🔴 FORECAST BLOCKED — "&amp;COUNTIF(H4:H27,"BLOCKED")&amp;" BLOCKED",IF(COUNTIF(H4:H27,"REVIEW")&gt;0,"🟡 NEEDS REVIEW — "&amp;COUNTIF(H4:H27,"REVIEW")&amp;" checks need attention",IF(COUNTIF(H4:H27,"PENDING")&gt;0,"⏳ PENDING — fill col G with actual results","🟢 SAFE — run python refresh_forecast.py --months 3")))</f>
        <v/>
      </c>
    </row>
  </sheetData>
  <autoFilter ref="A3:I27"/>
  <mergeCells count="3">
    <mergeCell ref="A1:I1"/>
    <mergeCell ref="A2:I2"/>
    <mergeCell ref="A29:I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56" customWidth="1" min="2" max="2"/>
    <col width="38" customWidth="1" min="3" max="3"/>
    <col width="44" customWidth="1" min="4" max="4"/>
  </cols>
  <sheetData>
    <row r="1" ht="24" customHeight="1">
      <c r="A1" s="13" t="inlineStr">
        <is>
          <t>COMMAND REFERENCE  |  Exact commands to run at each stage</t>
        </is>
      </c>
    </row>
    <row r="2" ht="28" customHeight="1">
      <c r="A2" s="7" t="inlineStr">
        <is>
          <t>Stage</t>
        </is>
      </c>
      <c r="B2" s="7" t="inlineStr">
        <is>
          <t>Command</t>
        </is>
      </c>
      <c r="C2" s="7" t="inlineStr">
        <is>
          <t>Expected Output / Pass Criterion</t>
        </is>
      </c>
      <c r="D2" s="7" t="inlineStr">
        <is>
          <t>Notes</t>
        </is>
      </c>
    </row>
    <row r="3" ht="90" customHeight="1">
      <c r="A3" s="33" t="inlineStr">
        <is>
          <t>STEP 1
Unit tests
(any time)</t>
        </is>
      </c>
      <c r="B3" s="34" t="inlineStr">
        <is>
          <t>python -m forecast_engine.selftest</t>
        </is>
      </c>
      <c r="C3" s="33" t="inlineStr">
        <is>
          <t>Ran 20 tests in ~0.04s
OK
→ Must be 20/20</t>
        </is>
      </c>
      <c r="D3" s="33" t="inlineStr">
        <is>
          <t>Run after any code change. Zero tolerance — 20/20 always.</t>
        </is>
      </c>
    </row>
    <row r="4" ht="90" customHeight="1">
      <c r="A4" s="35" t="inlineStr">
        <is>
          <t>STEP 2
Data readiness audit</t>
        </is>
      </c>
      <c r="B4" s="34" t="inlineStr">
        <is>
          <t>python forecast_engine/data_readiness_audit.py
  --primary Phase_A_Input/primary_history.csv
  --offtake Phase_A_Input/offtake_history.csv
  --margin  Phase_A_Input/fact_margin.csv</t>
        </is>
      </c>
      <c r="C4" s="35" t="inlineStr">
        <is>
          <t>gate_status: PASS
BLOCKED: 0
FAIL: 0
→ Output: audit_output/audit_summary.json</t>
        </is>
      </c>
      <c r="D4" s="35" t="inlineStr">
        <is>
          <t>Run after any Phase_A_Input file changes. BLOCKED &gt; 0 = hard stop.</t>
        </is>
      </c>
    </row>
    <row r="5" ht="90" customHeight="1">
      <c r="A5" s="33" t="inlineStr">
        <is>
          <t>STEP 3
Business input validator</t>
        </is>
      </c>
      <c r="B5" s="34" t="inlineStr">
        <is>
          <t>python validate_business_inputs.py --mode full
# Write JSON report:
python validate_business_inputs.py --mode full
  --out validation_results.json</t>
        </is>
      </c>
      <c r="C5" s="33" t="inlineStr">
        <is>
          <t>RESULTS:  PASS=22  WARNING=0  FAIL=0  BLOCKED=0
→ Must see: safe to run refresh_forecast.py
→ Exit code 0</t>
        </is>
      </c>
      <c r="D5" s="33" t="inlineStr">
        <is>
          <t>Must clear ALL BLOCKED and FAIL before Step 4.
Currently: BLOCKED=3 FAIL=2 — resolve business inputs first.</t>
        </is>
      </c>
    </row>
    <row r="6" ht="90" customHeight="1">
      <c r="A6" s="35" t="inlineStr">
        <is>
          <t>STEP 4
Production forecast</t>
        </is>
      </c>
      <c r="B6" s="34" t="inlineStr">
        <is>
          <t>python refresh_forecast.py --months 3 --verbose</t>
        </is>
      </c>
      <c r="C6" s="35" t="inlineStr">
        <is>
          <t>PRODUCTION_READY
9,138+ forecast records
All 5 gates PASS/WARNING
→ Output: forecast_outputs/&lt;run_id&gt;/</t>
        </is>
      </c>
      <c r="D6" s="35" t="inlineStr">
        <is>
          <t>Only run after Steps 1–3 return all-clear.
Do NOT run with BLOCKED or FAIL in Steps 1–3.</t>
        </is>
      </c>
    </row>
    <row r="7" ht="90" customHeight="1">
      <c r="A7" s="33" t="inlineStr">
        <is>
          <t>STEP 5
Verify event uplifts</t>
        </is>
      </c>
      <c r="B7" s="34" t="inlineStr">
        <is>
          <t>python -c "
import pandas as pd
df = pd.read_csv('forecast_outputs/&lt;run_id&gt;/PowerBI/fact_demand_forecast.csv')
print(df.groupby('forecast_month')['festival_uplift'].describe())
print('Rows with uplift&gt;0:', (df['festival_uplift'].astype(float)&gt;0).sum())
"</t>
        </is>
      </c>
      <c r="C7" s="33" t="inlineStr">
        <is>
          <t>Aug: mean &gt; 0 (Raksha Bandhan)
Sep: mean = 0
Oct: mean &gt; 0 (Big Billion / GIF)
→ Replace &lt;run_id&gt; with actual dir</t>
        </is>
      </c>
      <c r="D7" s="33" t="inlineStr">
        <is>
          <t>Verify approved uplifts are being applied. festival_uplift &gt; 0 for event months.</t>
        </is>
      </c>
    </row>
    <row r="8" ht="90" customHeight="1">
      <c r="A8" s="35" t="inlineStr">
        <is>
          <t>STEP 6
Warehouse reconciliation</t>
        </is>
      </c>
      <c r="B8" s="34" t="inlineStr">
        <is>
          <t>python -c "
import pandas as pd
df = pd.read_csv('forecast_outputs/&lt;run_id&gt;/PowerBI/fact_demand_forecast.csv')
for c in ['forecast_primary_qty','warehouse_gurgaon','warehouse_mumbai','warehouse_bangalore','warehouse_kolkata']:
    df[c] = pd.to_numeric(df[c], errors='coerce').fillna(0)
df['wh_sum'] = df[['warehouse_gurgaon','warehouse_mumbai','warehouse_bangalore','warehouse_kolkata']].sum(axis=1)
mismatch = (df['forecast_primary_qty'] - df['wh_sum']).abs()
print('Max mismatch:', mismatch.max(), '— rows:', (mismatch&gt;0.1).sum())
"</t>
        </is>
      </c>
      <c r="C8" s="35" t="inlineStr">
        <is>
          <t>Max mismatch: &lt; 0.1
Rows with mismatch: 0
→ Warehouse sum must equal forecast_primary_qty</t>
        </is>
      </c>
      <c r="D8" s="35" t="inlineStr">
        <is>
          <t>Gate 5 already checks this; run manually to confirm.</t>
        </is>
      </c>
    </row>
    <row r="9" ht="90" customHeight="1">
      <c r="A9" s="33" t="inlineStr">
        <is>
          <t>STEP 7
Update evidence</t>
        </is>
      </c>
      <c r="B9" s="34" t="inlineStr">
        <is>
          <t># After a successful approved run:
git add PHASE_A_VALIDATION_EVIDENCE.md
git add BUSINESS_INPUT_APPROVAL_TRACKER.xlsx
git commit -m 'chore: update validation evidence — [run_id]'
git push -u origin &lt;branch&gt;</t>
        </is>
      </c>
      <c r="C9" s="33" t="inlineStr">
        <is>
          <t>Evidence file and tracker pushed to branch</t>
        </is>
      </c>
      <c r="D9" s="33" t="inlineStr">
        <is>
          <t>Update PHASE_A_VALIDATION_EVIDENCE.md with new run details. Keep tracker current.</t>
        </is>
      </c>
    </row>
    <row r="10" ht="90" customHeight="1">
      <c r="A10" s="35" t="inlineStr">
        <is>
          <t>STEP 8
Backtesting
(once ≥3 months offtake)</t>
        </is>
      </c>
      <c r="B10" s="34" t="inlineStr">
        <is>
          <t>python forecast_engine/backtesting_framework.py
  Phase_A_Input backtest_output</t>
        </is>
      </c>
      <c r="C10" s="35" t="inlineStr">
        <is>
          <t>WAPE Total MT ≤ 10%
WAPE Chain ≤ 15%
WAPE Chain × Brand ≤ 20%
Forecast Bias within ±5%</t>
        </is>
      </c>
      <c r="D10" s="35" t="inlineStr">
        <is>
          <t>Currently only 2 months of offtake (Apr–May 2026). Re-run when Jun 2026 offtake is loaded.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2026-08-01T20:16:04Z</dcterms:created>
  <dcterms:modified xsi:type="dcterms:W3CDTF">2026-08-01T21:30:46Z</dcterms:modified>
</cp:coreProperties>
</file>